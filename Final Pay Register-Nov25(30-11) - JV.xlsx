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filterPrivacy="1" hidePivotFieldList="1"/>
  <xr:revisionPtr revIDLastSave="261" documentId="8_{D8034ECA-32EC-497D-989E-D438277C473E}" xr6:coauthVersionLast="47" xr6:coauthVersionMax="47" xr10:uidLastSave="{2401C6DE-ADD8-4830-812A-9100419AC36A}"/>
  <bookViews>
    <workbookView xWindow="-108" yWindow="-108" windowWidth="23256" windowHeight="12456" firstSheet="2" xr2:uid="{00000000-000D-0000-FFFF-FFFF00000000}"/>
  </bookViews>
  <sheets>
    <sheet name="First" sheetId="1" r:id="rId1"/>
    <sheet name="Sheet1" sheetId="2" r:id="rId2"/>
    <sheet name="JV" sheetId="3" r:id="rId3"/>
  </sheets>
  <externalReferences>
    <externalReference r:id="rId4"/>
  </externalReferences>
  <definedNames>
    <definedName name="_xlnm._FilterDatabase" localSheetId="0" hidden="1">First!$A$1:$DI$181</definedName>
    <definedName name="_xlnm._FilterDatabase" localSheetId="2" hidden="1">JV!$B$3:$AV$20</definedName>
  </definedNames>
  <calcPr calcId="191028"/>
  <pivotCaches>
    <pivotCache cacheId="117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0" i="3" l="1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K20" i="3"/>
  <c r="AJ20" i="3"/>
  <c r="AK19" i="3"/>
  <c r="AR19" i="3" s="1"/>
  <c r="AJ19" i="3"/>
  <c r="AK18" i="3"/>
  <c r="AR18" i="3" s="1"/>
  <c r="AJ18" i="3"/>
  <c r="AK17" i="3"/>
  <c r="AR17" i="3" s="1"/>
  <c r="AJ17" i="3"/>
  <c r="AK16" i="3"/>
  <c r="AR16" i="3" s="1"/>
  <c r="AJ16" i="3"/>
  <c r="AK15" i="3"/>
  <c r="AR15" i="3" s="1"/>
  <c r="AJ15" i="3"/>
  <c r="AK14" i="3"/>
  <c r="AR14" i="3" s="1"/>
  <c r="AJ14" i="3"/>
  <c r="AK13" i="3"/>
  <c r="AR13" i="3" s="1"/>
  <c r="AJ13" i="3"/>
  <c r="AK12" i="3"/>
  <c r="AR12" i="3" s="1"/>
  <c r="AJ12" i="3"/>
  <c r="AK11" i="3"/>
  <c r="AR11" i="3" s="1"/>
  <c r="AJ11" i="3"/>
  <c r="AK10" i="3"/>
  <c r="AR10" i="3" s="1"/>
  <c r="AJ10" i="3"/>
  <c r="AK9" i="3"/>
  <c r="AR9" i="3" s="1"/>
  <c r="AJ9" i="3"/>
  <c r="AK8" i="3"/>
  <c r="AR8" i="3" s="1"/>
  <c r="AJ8" i="3"/>
  <c r="AK7" i="3"/>
  <c r="AR7" i="3" s="1"/>
  <c r="AJ7" i="3"/>
  <c r="AK6" i="3"/>
  <c r="AR6" i="3" s="1"/>
  <c r="AJ6" i="3"/>
  <c r="AK5" i="3"/>
  <c r="AR5" i="3" s="1"/>
  <c r="AJ5" i="3"/>
  <c r="AK4" i="3"/>
  <c r="AR4" i="3" s="1"/>
  <c r="AJ4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K3" i="3"/>
  <c r="AJ3" i="3"/>
  <c r="AI3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F4" i="3"/>
  <c r="AH20" i="3"/>
  <c r="AL20" i="3" s="1"/>
  <c r="AG20" i="3"/>
  <c r="AF20" i="3"/>
  <c r="AH19" i="3"/>
  <c r="AL19" i="3" s="1"/>
  <c r="AG19" i="3"/>
  <c r="AH18" i="3"/>
  <c r="AL18" i="3" s="1"/>
  <c r="AG18" i="3"/>
  <c r="AH17" i="3"/>
  <c r="AL17" i="3" s="1"/>
  <c r="AG17" i="3"/>
  <c r="AH16" i="3"/>
  <c r="AL16" i="3" s="1"/>
  <c r="AG16" i="3"/>
  <c r="AH15" i="3"/>
  <c r="AL15" i="3" s="1"/>
  <c r="AG15" i="3"/>
  <c r="AH14" i="3"/>
  <c r="AL14" i="3" s="1"/>
  <c r="AG14" i="3"/>
  <c r="AH13" i="3"/>
  <c r="AL13" i="3" s="1"/>
  <c r="AG13" i="3"/>
  <c r="AH12" i="3"/>
  <c r="AL12" i="3" s="1"/>
  <c r="AG12" i="3"/>
  <c r="AH11" i="3"/>
  <c r="AL11" i="3" s="1"/>
  <c r="AG11" i="3"/>
  <c r="AH10" i="3"/>
  <c r="AL10" i="3" s="1"/>
  <c r="AG10" i="3"/>
  <c r="AH9" i="3"/>
  <c r="AL9" i="3" s="1"/>
  <c r="AG9" i="3"/>
  <c r="AH8" i="3"/>
  <c r="AL8" i="3" s="1"/>
  <c r="AG8" i="3"/>
  <c r="AH7" i="3"/>
  <c r="AL7" i="3" s="1"/>
  <c r="AG7" i="3"/>
  <c r="AH6" i="3"/>
  <c r="AL6" i="3" s="1"/>
  <c r="AG6" i="3"/>
  <c r="AH5" i="3"/>
  <c r="AL5" i="3" s="1"/>
  <c r="AG5" i="3"/>
  <c r="AH4" i="3"/>
  <c r="AL4" i="3" s="1"/>
  <c r="AG4" i="3"/>
  <c r="DE2" i="1" a="1"/>
  <c r="DE2" i="1" s="1"/>
  <c r="DF2" i="1" s="1"/>
  <c r="AO6" i="3" l="1"/>
  <c r="AO14" i="3"/>
  <c r="AO10" i="3"/>
  <c r="AO18" i="3"/>
  <c r="AO16" i="3"/>
  <c r="AO9" i="3"/>
  <c r="AO4" i="3"/>
  <c r="AO12" i="3"/>
  <c r="AO19" i="3"/>
  <c r="AO8" i="3"/>
  <c r="AO5" i="3"/>
  <c r="AO13" i="3"/>
  <c r="AO17" i="3"/>
  <c r="AO11" i="3"/>
  <c r="AO15" i="3"/>
  <c r="AO7" i="3"/>
  <c r="DF12" i="1"/>
  <c r="DF93" i="1"/>
  <c r="DF3" i="1"/>
  <c r="DF27" i="1"/>
  <c r="DF67" i="1"/>
  <c r="DF107" i="1"/>
  <c r="DF139" i="1"/>
  <c r="DF171" i="1"/>
  <c r="DF20" i="1"/>
  <c r="DF44" i="1"/>
  <c r="DF60" i="1"/>
  <c r="DF92" i="1"/>
  <c r="DF22" i="1"/>
  <c r="DF46" i="1"/>
  <c r="DF70" i="1"/>
  <c r="DF94" i="1"/>
  <c r="DF126" i="1"/>
  <c r="DF174" i="1"/>
  <c r="DF11" i="1"/>
  <c r="DF43" i="1"/>
  <c r="DF51" i="1"/>
  <c r="DF83" i="1"/>
  <c r="DF91" i="1"/>
  <c r="DF123" i="1"/>
  <c r="DF163" i="1"/>
  <c r="DF52" i="1"/>
  <c r="DF76" i="1"/>
  <c r="DF116" i="1"/>
  <c r="DF6" i="1"/>
  <c r="DF30" i="1"/>
  <c r="DF54" i="1"/>
  <c r="DF78" i="1"/>
  <c r="DF102" i="1"/>
  <c r="DF118" i="1"/>
  <c r="DF134" i="1"/>
  <c r="DF150" i="1"/>
  <c r="DF166" i="1"/>
  <c r="DF7" i="1"/>
  <c r="DF23" i="1"/>
  <c r="DF39" i="1"/>
  <c r="DF63" i="1"/>
  <c r="DF87" i="1"/>
  <c r="DF103" i="1"/>
  <c r="DF119" i="1"/>
  <c r="DF135" i="1"/>
  <c r="DF151" i="1"/>
  <c r="DF159" i="1"/>
  <c r="DF167" i="1"/>
  <c r="DF175" i="1"/>
  <c r="DF8" i="1"/>
  <c r="DF16" i="1"/>
  <c r="DF24" i="1"/>
  <c r="DF32" i="1"/>
  <c r="DF40" i="1"/>
  <c r="DF48" i="1"/>
  <c r="DF56" i="1"/>
  <c r="DF64" i="1"/>
  <c r="DF72" i="1"/>
  <c r="DF80" i="1"/>
  <c r="DF88" i="1"/>
  <c r="DF96" i="1"/>
  <c r="DF104" i="1"/>
  <c r="DF112" i="1"/>
  <c r="DF120" i="1"/>
  <c r="DF128" i="1"/>
  <c r="DF136" i="1"/>
  <c r="DF144" i="1"/>
  <c r="DF152" i="1"/>
  <c r="DF160" i="1"/>
  <c r="DF168" i="1"/>
  <c r="DF176" i="1"/>
  <c r="DF9" i="1"/>
  <c r="DF17" i="1"/>
  <c r="DF25" i="1"/>
  <c r="DF33" i="1"/>
  <c r="DF41" i="1"/>
  <c r="DF49" i="1"/>
  <c r="DF57" i="1"/>
  <c r="DF65" i="1"/>
  <c r="DF73" i="1"/>
  <c r="DF81" i="1"/>
  <c r="DF89" i="1"/>
  <c r="DF97" i="1"/>
  <c r="DF105" i="1"/>
  <c r="DF113" i="1"/>
  <c r="DF121" i="1"/>
  <c r="DF129" i="1"/>
  <c r="DF137" i="1"/>
  <c r="DF145" i="1"/>
  <c r="DF153" i="1"/>
  <c r="DF161" i="1"/>
  <c r="DF169" i="1"/>
  <c r="DF177" i="1"/>
  <c r="DF19" i="1"/>
  <c r="DF59" i="1"/>
  <c r="DF115" i="1"/>
  <c r="DF155" i="1"/>
  <c r="DF4" i="1"/>
  <c r="DF28" i="1"/>
  <c r="DF68" i="1"/>
  <c r="DF108" i="1"/>
  <c r="DF14" i="1"/>
  <c r="DF38" i="1"/>
  <c r="DF62" i="1"/>
  <c r="DF86" i="1"/>
  <c r="DF110" i="1"/>
  <c r="DF142" i="1"/>
  <c r="DF158" i="1"/>
  <c r="DF15" i="1"/>
  <c r="DF31" i="1"/>
  <c r="DF47" i="1"/>
  <c r="DF55" i="1"/>
  <c r="DF71" i="1"/>
  <c r="DF79" i="1"/>
  <c r="DF95" i="1"/>
  <c r="DF111" i="1"/>
  <c r="DF127" i="1"/>
  <c r="DF143" i="1"/>
  <c r="DF10" i="1"/>
  <c r="DF18" i="1"/>
  <c r="DF26" i="1"/>
  <c r="DF34" i="1"/>
  <c r="DF42" i="1"/>
  <c r="DF50" i="1"/>
  <c r="DF58" i="1"/>
  <c r="DF66" i="1"/>
  <c r="DF74" i="1"/>
  <c r="DF82" i="1"/>
  <c r="DF90" i="1"/>
  <c r="DF98" i="1"/>
  <c r="DF106" i="1"/>
  <c r="DF114" i="1"/>
  <c r="DF122" i="1"/>
  <c r="DF130" i="1"/>
  <c r="DF138" i="1"/>
  <c r="DF146" i="1"/>
  <c r="DF154" i="1"/>
  <c r="DF162" i="1"/>
  <c r="DF170" i="1"/>
  <c r="DF178" i="1"/>
  <c r="DF179" i="1"/>
  <c r="DF180" i="1"/>
  <c r="DF35" i="1"/>
  <c r="DF75" i="1"/>
  <c r="DF99" i="1"/>
  <c r="DF131" i="1"/>
  <c r="DF147" i="1"/>
  <c r="DF36" i="1"/>
  <c r="DF84" i="1"/>
  <c r="DF100" i="1"/>
  <c r="DF124" i="1"/>
  <c r="DF132" i="1"/>
  <c r="DF140" i="1"/>
  <c r="DF148" i="1"/>
  <c r="DF156" i="1"/>
  <c r="DF164" i="1"/>
  <c r="DF172" i="1"/>
  <c r="DF5" i="1"/>
  <c r="DF13" i="1"/>
  <c r="DF21" i="1"/>
  <c r="DF29" i="1"/>
  <c r="DF37" i="1"/>
  <c r="DF45" i="1"/>
  <c r="DF53" i="1"/>
  <c r="DF61" i="1"/>
  <c r="DF69" i="1"/>
  <c r="DF77" i="1"/>
  <c r="DF85" i="1"/>
  <c r="DF101" i="1"/>
  <c r="DF109" i="1"/>
  <c r="DF117" i="1"/>
  <c r="DF125" i="1"/>
  <c r="DF133" i="1"/>
  <c r="DF141" i="1"/>
  <c r="DF149" i="1"/>
  <c r="DF157" i="1"/>
  <c r="DF165" i="1"/>
  <c r="DF173" i="1"/>
  <c r="DF18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<sst xmlns="http://schemas.openxmlformats.org/spreadsheetml/2006/main" count="5169" uniqueCount="1302">
  <si>
    <t>Employee Number</t>
  </si>
  <si>
    <t>Employee Name</t>
  </si>
  <si>
    <t>Cost Centre</t>
  </si>
  <si>
    <t>Joining Date</t>
  </si>
  <si>
    <t>Quit Date</t>
  </si>
  <si>
    <t>For Month(YYYY-MM)</t>
  </si>
  <si>
    <t>Payroll Status</t>
  </si>
  <si>
    <t>Payroll Status Message</t>
  </si>
  <si>
    <t>Payment Mode</t>
  </si>
  <si>
    <t>Total Days</t>
  </si>
  <si>
    <t>LOP Days</t>
  </si>
  <si>
    <t>Previous Months LOP days</t>
  </si>
  <si>
    <t>Previous Months LOP List</t>
  </si>
  <si>
    <t>Increment Arrears Days</t>
  </si>
  <si>
    <t>Arrears Days</t>
  </si>
  <si>
    <t>Present Days</t>
  </si>
  <si>
    <t>Actual Working Days</t>
  </si>
  <si>
    <t>Designation</t>
  </si>
  <si>
    <t>Business Unit</t>
  </si>
  <si>
    <t>Location</t>
  </si>
  <si>
    <t>Location State</t>
  </si>
  <si>
    <t>Saving Account Number</t>
  </si>
  <si>
    <t>Bank Name</t>
  </si>
  <si>
    <t>Master Gross Salary</t>
  </si>
  <si>
    <t>PAN Number</t>
  </si>
  <si>
    <t xml:space="preserve">Original Basic </t>
  </si>
  <si>
    <t xml:space="preserve">Basic </t>
  </si>
  <si>
    <t xml:space="preserve">Basic Arrears </t>
  </si>
  <si>
    <t xml:space="preserve">Original HRA </t>
  </si>
  <si>
    <t xml:space="preserve">HRA </t>
  </si>
  <si>
    <t xml:space="preserve">HRA Arrears </t>
  </si>
  <si>
    <t xml:space="preserve">Original Statutory Bonus </t>
  </si>
  <si>
    <t xml:space="preserve">Statutory Bonus </t>
  </si>
  <si>
    <t xml:space="preserve">Statutory Bonus Arrears </t>
  </si>
  <si>
    <t xml:space="preserve">Original Special Allowances </t>
  </si>
  <si>
    <t xml:space="preserve">Special Allowances </t>
  </si>
  <si>
    <t xml:space="preserve">Special Allowances Arrears </t>
  </si>
  <si>
    <t xml:space="preserve">Original LTA </t>
  </si>
  <si>
    <t xml:space="preserve">LTA </t>
  </si>
  <si>
    <t xml:space="preserve">LTA Arrears </t>
  </si>
  <si>
    <t xml:space="preserve">Original Food Coupon </t>
  </si>
  <si>
    <t xml:space="preserve">Food Coupon </t>
  </si>
  <si>
    <t xml:space="preserve">Food Coupon Arrears </t>
  </si>
  <si>
    <t xml:space="preserve">Original Other Allowance </t>
  </si>
  <si>
    <t xml:space="preserve">Other Allowance </t>
  </si>
  <si>
    <t xml:space="preserve">Other Allowance Arrears </t>
  </si>
  <si>
    <t>OVERTIME</t>
  </si>
  <si>
    <t>BONUS</t>
  </si>
  <si>
    <t>INCENTIVE</t>
  </si>
  <si>
    <t>ARREARS</t>
  </si>
  <si>
    <t>VARIABLE PAY</t>
  </si>
  <si>
    <t>SHIFT ALLOWANCE</t>
  </si>
  <si>
    <t>RETENTION BONUS</t>
  </si>
  <si>
    <t>VARIABLE PERFORMANCE PAY</t>
  </si>
  <si>
    <t>RELOCATION ALLOWANCE</t>
  </si>
  <si>
    <t>SEVERANCE PAY</t>
  </si>
  <si>
    <t>OTHERS _ REIMBURSEMENT</t>
  </si>
  <si>
    <t>OTHERS</t>
  </si>
  <si>
    <t>Total Extra Payments</t>
  </si>
  <si>
    <t>Total Gross Salary</t>
  </si>
  <si>
    <t>Total PT Gross</t>
  </si>
  <si>
    <t xml:space="preserve">Food Coupon Deduction </t>
  </si>
  <si>
    <t xml:space="preserve">Food Coupon Deduction Arrears </t>
  </si>
  <si>
    <t>TDS</t>
  </si>
  <si>
    <t>Professional Tax</t>
  </si>
  <si>
    <t>ESIC</t>
  </si>
  <si>
    <t>ESIC Arrears</t>
  </si>
  <si>
    <t>Provident Fund</t>
  </si>
  <si>
    <t>Provident Fund Arrears</t>
  </si>
  <si>
    <t>Provident Fund- Employer</t>
  </si>
  <si>
    <t>Provident Fund- Employer Arrears</t>
  </si>
  <si>
    <t>Superannuation</t>
  </si>
  <si>
    <t>Superannuation Arrears</t>
  </si>
  <si>
    <t>Superannuation- Employer</t>
  </si>
  <si>
    <t>Superannuation- Employer Arrears</t>
  </si>
  <si>
    <t>LWF</t>
  </si>
  <si>
    <t xml:space="preserve">EDUCATION LOAN </t>
  </si>
  <si>
    <t xml:space="preserve">PERSONAL LOAN </t>
  </si>
  <si>
    <t xml:space="preserve">OTHER LOAN </t>
  </si>
  <si>
    <t xml:space="preserve">Total Loans </t>
  </si>
  <si>
    <t xml:space="preserve">REGULAR </t>
  </si>
  <si>
    <t xml:space="preserve">VPF </t>
  </si>
  <si>
    <t xml:space="preserve">MEDICLAIM </t>
  </si>
  <si>
    <t xml:space="preserve">NPS(1B) </t>
  </si>
  <si>
    <t xml:space="preserve">LICPREMIUM </t>
  </si>
  <si>
    <t xml:space="preserve">VPFPERCENT </t>
  </si>
  <si>
    <t xml:space="preserve">RFA/CLA </t>
  </si>
  <si>
    <t xml:space="preserve">80D - Health Insurance Self </t>
  </si>
  <si>
    <t xml:space="preserve">80D - Health Insurance Parents </t>
  </si>
  <si>
    <t xml:space="preserve">80D - Health Insurance Self (SR) </t>
  </si>
  <si>
    <t xml:space="preserve">80D - Health Insurance Parents (SR) </t>
  </si>
  <si>
    <t xml:space="preserve">80G - Social Causes </t>
  </si>
  <si>
    <t xml:space="preserve">80G - Pvt Entities (100%) </t>
  </si>
  <si>
    <t xml:space="preserve">80G - Pvt Entities (50%) </t>
  </si>
  <si>
    <t xml:space="preserve">80G - Pvt Entities Unrestricted(100%) </t>
  </si>
  <si>
    <t xml:space="preserve">80G - Pvt Entities Unrestricted(50%) </t>
  </si>
  <si>
    <t xml:space="preserve">80GGA - Scientific Research and Rural Dev </t>
  </si>
  <si>
    <t xml:space="preserve">80GGC - Political Parties </t>
  </si>
  <si>
    <t xml:space="preserve">OTHER RECOVERIES </t>
  </si>
  <si>
    <t xml:space="preserve">Mediclaim Insurance Recovery </t>
  </si>
  <si>
    <t>Total Advances / Extra Deductions</t>
  </si>
  <si>
    <t>Cumulative Deductions Carry Forward</t>
  </si>
  <si>
    <t>Total Deduction</t>
  </si>
  <si>
    <t>Net Salary</t>
  </si>
  <si>
    <t>Hold Payment Total</t>
  </si>
  <si>
    <t>Deductions Carry Forward</t>
  </si>
  <si>
    <t>Total Salary</t>
  </si>
  <si>
    <t>Diff</t>
  </si>
  <si>
    <t>Remarks</t>
  </si>
  <si>
    <t>FS005</t>
  </si>
  <si>
    <t>Hari Priya Ulli</t>
  </si>
  <si>
    <t>Talent Acquisition</t>
  </si>
  <si>
    <t>16-06-2014</t>
  </si>
  <si>
    <t>N.A</t>
  </si>
  <si>
    <t>2025-11</t>
  </si>
  <si>
    <t>Success</t>
  </si>
  <si>
    <t/>
  </si>
  <si>
    <t>31</t>
  </si>
  <si>
    <t>0</t>
  </si>
  <si>
    <t>Manager - Talent Acquisition</t>
  </si>
  <si>
    <t>Recruitment-IN</t>
  </si>
  <si>
    <t>Hyderabad</t>
  </si>
  <si>
    <t xml:space="preserve">Telangana </t>
  </si>
  <si>
    <t>20186864118</t>
  </si>
  <si>
    <t>STATE BANK OF INDIA</t>
  </si>
  <si>
    <t>145318</t>
  </si>
  <si>
    <t>ACPPU4815L</t>
  </si>
  <si>
    <t>Incentive of Rs.1,500 in Nov</t>
  </si>
  <si>
    <t>FS049</t>
  </si>
  <si>
    <t xml:space="preserve">Vikas Chamakura </t>
  </si>
  <si>
    <t>HR</t>
  </si>
  <si>
    <t>09-02-2017</t>
  </si>
  <si>
    <t>HR Manager</t>
  </si>
  <si>
    <t>Human Resources</t>
  </si>
  <si>
    <t>50100570370888</t>
  </si>
  <si>
    <t>HDFC BANK</t>
  </si>
  <si>
    <t>126924</t>
  </si>
  <si>
    <t>BLVPC2214F</t>
  </si>
  <si>
    <t>FS104</t>
  </si>
  <si>
    <t xml:space="preserve">Parvathalu Dayyala </t>
  </si>
  <si>
    <t>Admin</t>
  </si>
  <si>
    <t>01-12-2018</t>
  </si>
  <si>
    <t>Office Assistant/Security</t>
  </si>
  <si>
    <t>Office Operation-IN</t>
  </si>
  <si>
    <t>50100568112416</t>
  </si>
  <si>
    <t>37800</t>
  </si>
  <si>
    <t>EXCPP1470G</t>
  </si>
  <si>
    <t>FS128</t>
  </si>
  <si>
    <t xml:space="preserve">Manohar Reddy Mayaluri </t>
  </si>
  <si>
    <t>Executive Management</t>
  </si>
  <si>
    <t>26-10-2020</t>
  </si>
  <si>
    <t>CEO</t>
  </si>
  <si>
    <t>Executive</t>
  </si>
  <si>
    <t>99909652211000</t>
  </si>
  <si>
    <t>793333</t>
  </si>
  <si>
    <t>AZKPM9408R</t>
  </si>
  <si>
    <t>FS136</t>
  </si>
  <si>
    <t xml:space="preserve">Krishna Kishore Battula </t>
  </si>
  <si>
    <t>Quality Engineering</t>
  </si>
  <si>
    <t>31-08-2020</t>
  </si>
  <si>
    <t>Director/ Lead Architect- QA</t>
  </si>
  <si>
    <t>Quality Engineering Practice</t>
  </si>
  <si>
    <t>50100008645661</t>
  </si>
  <si>
    <t>342205</t>
  </si>
  <si>
    <t>AZRPB9400F</t>
  </si>
  <si>
    <t>FS141</t>
  </si>
  <si>
    <t xml:space="preserve">Srinivas Yegireddy </t>
  </si>
  <si>
    <t>16-11-2020</t>
  </si>
  <si>
    <t xml:space="preserve">Senior Manager Quality </t>
  </si>
  <si>
    <t>Delivery-IN</t>
  </si>
  <si>
    <t>20056357796</t>
  </si>
  <si>
    <t>219032</t>
  </si>
  <si>
    <t>ABBPY2005K</t>
  </si>
  <si>
    <t>FS143</t>
  </si>
  <si>
    <t xml:space="preserve">Seetha Lakshmi Polishetty </t>
  </si>
  <si>
    <t>23-11-2020</t>
  </si>
  <si>
    <t>Manager Quality Engineering</t>
  </si>
  <si>
    <t>05451610481509</t>
  </si>
  <si>
    <t>130150</t>
  </si>
  <si>
    <t>BABPK1724M</t>
  </si>
  <si>
    <t>FS156</t>
  </si>
  <si>
    <t xml:space="preserve">Vinod Ullaganti </t>
  </si>
  <si>
    <t>Product Engineering</t>
  </si>
  <si>
    <t>09-02-2021</t>
  </si>
  <si>
    <t>Senior Technical Lead</t>
  </si>
  <si>
    <t>50100568112557</t>
  </si>
  <si>
    <t>206844</t>
  </si>
  <si>
    <t>ADPPU6834N</t>
  </si>
  <si>
    <t>FS157</t>
  </si>
  <si>
    <t>Yerva Sireesha</t>
  </si>
  <si>
    <t>15-03-2021</t>
  </si>
  <si>
    <t>Lead -QA</t>
  </si>
  <si>
    <t>Innovation-In</t>
  </si>
  <si>
    <t>40092282965</t>
  </si>
  <si>
    <t>148742</t>
  </si>
  <si>
    <t>AGBPY8707F</t>
  </si>
  <si>
    <t>FS158</t>
  </si>
  <si>
    <t>Penmetsa Kumar Vijay Venkata Rama Raju</t>
  </si>
  <si>
    <t>29-03-2021</t>
  </si>
  <si>
    <t>25</t>
  </si>
  <si>
    <t>Senior Director</t>
  </si>
  <si>
    <t>50100591447708</t>
  </si>
  <si>
    <t>379581</t>
  </si>
  <si>
    <t>AIJPP1671R</t>
  </si>
  <si>
    <t>October 2025 Arrears have been included and the revised/hiked salary has been considered for November 2025 payroll</t>
  </si>
  <si>
    <t>FS161</t>
  </si>
  <si>
    <t xml:space="preserve">Gangadhar Golli </t>
  </si>
  <si>
    <t>03-05-2021</t>
  </si>
  <si>
    <t>Senior Data Architect</t>
  </si>
  <si>
    <t>50100724450170</t>
  </si>
  <si>
    <t>277053</t>
  </si>
  <si>
    <t>AJVPG7531L</t>
  </si>
  <si>
    <t>FS163</t>
  </si>
  <si>
    <t xml:space="preserve">Paramjeet Gujral </t>
  </si>
  <si>
    <t>10-05-2021</t>
  </si>
  <si>
    <t>Senior Director -Program Management</t>
  </si>
  <si>
    <t>50100700637692</t>
  </si>
  <si>
    <t>385941</t>
  </si>
  <si>
    <t>AMTPG3548E</t>
  </si>
  <si>
    <t>FS165</t>
  </si>
  <si>
    <t xml:space="preserve">Chandana Pothireddi </t>
  </si>
  <si>
    <t>27-05-2021</t>
  </si>
  <si>
    <t>QA Manager</t>
  </si>
  <si>
    <t>02771610133771</t>
  </si>
  <si>
    <t>217560</t>
  </si>
  <si>
    <t>AYMPP9397B</t>
  </si>
  <si>
    <t>FS167</t>
  </si>
  <si>
    <t>Kanakanti Kalpana</t>
  </si>
  <si>
    <t>01-06-2021</t>
  </si>
  <si>
    <t>Senior Executive- Talent Acquisition</t>
  </si>
  <si>
    <t>50100246324325</t>
  </si>
  <si>
    <t>79044</t>
  </si>
  <si>
    <t>EJUPK6859Q</t>
  </si>
  <si>
    <t>FS169</t>
  </si>
  <si>
    <t xml:space="preserve">Mallikarjuna Rao Pagadala </t>
  </si>
  <si>
    <t>01-07-2021</t>
  </si>
  <si>
    <t>Software Engineer</t>
  </si>
  <si>
    <t>50100568112392</t>
  </si>
  <si>
    <t>50290</t>
  </si>
  <si>
    <t>AZBPP1346C</t>
  </si>
  <si>
    <t>FS179</t>
  </si>
  <si>
    <t xml:space="preserve">Srikanth Kantha Reddy </t>
  </si>
  <si>
    <t>Sales</t>
  </si>
  <si>
    <t>01-09-2021</t>
  </si>
  <si>
    <t>Associate Director -Inside Sales</t>
  </si>
  <si>
    <t>Business Development</t>
  </si>
  <si>
    <t>99919989312493</t>
  </si>
  <si>
    <t>238165</t>
  </si>
  <si>
    <t>AVBPK5746R</t>
  </si>
  <si>
    <t xml:space="preserve">Nov incentive of Rs.22,000 And Oct-25 Incentive of Rs.14,000 Both Net effect </t>
  </si>
  <si>
    <t>FS181</t>
  </si>
  <si>
    <t>Bashyam Roopa Chandra</t>
  </si>
  <si>
    <t>20-09-2021</t>
  </si>
  <si>
    <t>40464576590</t>
  </si>
  <si>
    <t>59767</t>
  </si>
  <si>
    <t>CABPR4794P</t>
  </si>
  <si>
    <t>FS182</t>
  </si>
  <si>
    <t xml:space="preserve">Mahesh Guntuka </t>
  </si>
  <si>
    <t>01-10-2021</t>
  </si>
  <si>
    <t>Associate Architect</t>
  </si>
  <si>
    <t>19821000005651</t>
  </si>
  <si>
    <t>313135</t>
  </si>
  <si>
    <t>AQIPG6162B</t>
  </si>
  <si>
    <t>FS187</t>
  </si>
  <si>
    <t xml:space="preserve">Gouthami Lingamaneni </t>
  </si>
  <si>
    <t>08-11-2021</t>
  </si>
  <si>
    <t>50100094847907</t>
  </si>
  <si>
    <t>117040</t>
  </si>
  <si>
    <t>ALCPL5884E</t>
  </si>
  <si>
    <t>FS193</t>
  </si>
  <si>
    <t xml:space="preserve">Anirudh Nampally </t>
  </si>
  <si>
    <t>06-12-2021</t>
  </si>
  <si>
    <t>Architect</t>
  </si>
  <si>
    <t>50100561253863</t>
  </si>
  <si>
    <t>304077</t>
  </si>
  <si>
    <t>AKAPN1591M</t>
  </si>
  <si>
    <t>FS199</t>
  </si>
  <si>
    <t xml:space="preserve">Ayesha Siddiqa </t>
  </si>
  <si>
    <t>01-01-2022</t>
  </si>
  <si>
    <t>Data Engineer - I</t>
  </si>
  <si>
    <t>40448681617</t>
  </si>
  <si>
    <t>79350</t>
  </si>
  <si>
    <t>DHDPA3528L</t>
  </si>
  <si>
    <t>FS200</t>
  </si>
  <si>
    <t>Kondapalli Divya Sree</t>
  </si>
  <si>
    <t>Software development Engineer in test II (SDET-II)</t>
  </si>
  <si>
    <t>50100743219381</t>
  </si>
  <si>
    <t>90480</t>
  </si>
  <si>
    <t>GVCPK3707B</t>
  </si>
  <si>
    <t>FS201</t>
  </si>
  <si>
    <t xml:space="preserve">Brunda Desam </t>
  </si>
  <si>
    <t>50100558314184</t>
  </si>
  <si>
    <t>FQTPB3520G</t>
  </si>
  <si>
    <t>FS212</t>
  </si>
  <si>
    <t xml:space="preserve">Kumaraswamy Sirikonda </t>
  </si>
  <si>
    <t>24-01-2022</t>
  </si>
  <si>
    <t>Lead Software Engineer</t>
  </si>
  <si>
    <t>50100168094937</t>
  </si>
  <si>
    <t>223972</t>
  </si>
  <si>
    <t>GWBPS4603C</t>
  </si>
  <si>
    <t>FS220</t>
  </si>
  <si>
    <t>Errabelli Krishnachaithanya</t>
  </si>
  <si>
    <t>07-02-2022</t>
  </si>
  <si>
    <t>50100439139879</t>
  </si>
  <si>
    <t>57168</t>
  </si>
  <si>
    <t>JEZPK2785A</t>
  </si>
  <si>
    <t>FS253</t>
  </si>
  <si>
    <t>Nidhi Chopra</t>
  </si>
  <si>
    <t>25-04-2022</t>
  </si>
  <si>
    <t>Hold Salary</t>
  </si>
  <si>
    <t>Associate Manager -HR</t>
  </si>
  <si>
    <t>HR Ops-IN</t>
  </si>
  <si>
    <t>40970319820</t>
  </si>
  <si>
    <t>69536</t>
  </si>
  <si>
    <t>ADFPC7783A</t>
  </si>
  <si>
    <t>FS265</t>
  </si>
  <si>
    <t xml:space="preserve">Pushpa Bantroth </t>
  </si>
  <si>
    <t>02-05-2022</t>
  </si>
  <si>
    <t>50100561253811</t>
  </si>
  <si>
    <t>23500</t>
  </si>
  <si>
    <t>DHAPP3519R</t>
  </si>
  <si>
    <t>FS266</t>
  </si>
  <si>
    <t xml:space="preserve">Naresh Laxmipurpu </t>
  </si>
  <si>
    <t>50100456735286</t>
  </si>
  <si>
    <t>39600</t>
  </si>
  <si>
    <t>AIUPL5725D</t>
  </si>
  <si>
    <t>FS278</t>
  </si>
  <si>
    <t xml:space="preserve">Ravikiran Dumpa </t>
  </si>
  <si>
    <t>Data &amp; Insights</t>
  </si>
  <si>
    <t>30-06-2022</t>
  </si>
  <si>
    <t>Associate architect</t>
  </si>
  <si>
    <t>Analytics Practice</t>
  </si>
  <si>
    <t>30574986685</t>
  </si>
  <si>
    <t>357730</t>
  </si>
  <si>
    <t>AWYPD1976C</t>
  </si>
  <si>
    <t>FS285</t>
  </si>
  <si>
    <t xml:space="preserve">Gayathri Boggula </t>
  </si>
  <si>
    <t>Staffing</t>
  </si>
  <si>
    <t>14-07-2022</t>
  </si>
  <si>
    <t>Senior Developer</t>
  </si>
  <si>
    <t>50100392811989</t>
  </si>
  <si>
    <t>48251</t>
  </si>
  <si>
    <t>BJBPG5470K</t>
  </si>
  <si>
    <t>FS286</t>
  </si>
  <si>
    <t xml:space="preserve">Jayprakash Narani </t>
  </si>
  <si>
    <t>20040643229</t>
  </si>
  <si>
    <t>70851</t>
  </si>
  <si>
    <t>AFOPN2404E</t>
  </si>
  <si>
    <t>FS291</t>
  </si>
  <si>
    <t xml:space="preserve">Sai Prasad Chikoti </t>
  </si>
  <si>
    <t>03-08-2022</t>
  </si>
  <si>
    <t>50100202943146</t>
  </si>
  <si>
    <t>175039</t>
  </si>
  <si>
    <t>BOFPC4956M</t>
  </si>
  <si>
    <t>FS293</t>
  </si>
  <si>
    <t>Raza Abbas</t>
  </si>
  <si>
    <t>04-08-2022</t>
  </si>
  <si>
    <t>11367767800</t>
  </si>
  <si>
    <t>164700</t>
  </si>
  <si>
    <t>AGBPA9541R</t>
  </si>
  <si>
    <t>FS300</t>
  </si>
  <si>
    <t xml:space="preserve">Harshil Goolla </t>
  </si>
  <si>
    <t>Cloud</t>
  </si>
  <si>
    <t>18-08-2022</t>
  </si>
  <si>
    <t>50100561253659</t>
  </si>
  <si>
    <t>BCKPH3509N</t>
  </si>
  <si>
    <t>FS342</t>
  </si>
  <si>
    <t xml:space="preserve">Srikanth Ganivada </t>
  </si>
  <si>
    <t>02-12-2022</t>
  </si>
  <si>
    <t>50100565833375</t>
  </si>
  <si>
    <t>183850</t>
  </si>
  <si>
    <t>AJNPG6087H</t>
  </si>
  <si>
    <t>FS343</t>
  </si>
  <si>
    <t xml:space="preserve">Pramod Mahakud </t>
  </si>
  <si>
    <t>01-12-2022</t>
  </si>
  <si>
    <t>50100099944288</t>
  </si>
  <si>
    <t>33400</t>
  </si>
  <si>
    <t>AXKPM6004B</t>
  </si>
  <si>
    <t>FS345</t>
  </si>
  <si>
    <t>Nare Shashidhar</t>
  </si>
  <si>
    <t>12-12-2022</t>
  </si>
  <si>
    <t>50100145438351</t>
  </si>
  <si>
    <t>193066</t>
  </si>
  <si>
    <t>ASGPN1211Q</t>
  </si>
  <si>
    <t>FS349</t>
  </si>
  <si>
    <t xml:space="preserve">Venkata Ramana Rao Mahendrakar </t>
  </si>
  <si>
    <t>22-12-2022</t>
  </si>
  <si>
    <t>50100286053321</t>
  </si>
  <si>
    <t>343997</t>
  </si>
  <si>
    <t>BNSPM0675D</t>
  </si>
  <si>
    <t>FS355</t>
  </si>
  <si>
    <t xml:space="preserve">Muraboina Chakravarthi </t>
  </si>
  <si>
    <t>09-01-2023</t>
  </si>
  <si>
    <t>Software Engineer I</t>
  </si>
  <si>
    <t>50100581867619</t>
  </si>
  <si>
    <t>44760</t>
  </si>
  <si>
    <t>CMCPC2587C</t>
  </si>
  <si>
    <t>FS356</t>
  </si>
  <si>
    <t>Bollu Ramana Reddy</t>
  </si>
  <si>
    <t>50100212359496</t>
  </si>
  <si>
    <t>337108</t>
  </si>
  <si>
    <t>ANQPB0903J</t>
  </si>
  <si>
    <t>Tds On Nov Shift Allowance of Rs.20,000</t>
  </si>
  <si>
    <t>FS362</t>
  </si>
  <si>
    <t>GADEKARI KESAVA</t>
  </si>
  <si>
    <t>23-01-2023</t>
  </si>
  <si>
    <t>Senior Developer AWS</t>
  </si>
  <si>
    <t>50100573701435</t>
  </si>
  <si>
    <t>260985</t>
  </si>
  <si>
    <t>DGLPK1304M</t>
  </si>
  <si>
    <t>FS365</t>
  </si>
  <si>
    <t>Naga Ganesh Gunukula</t>
  </si>
  <si>
    <t>Internal IT</t>
  </si>
  <si>
    <t>30-01-2023</t>
  </si>
  <si>
    <t>Manager- IT, Cloud &amp; Infra</t>
  </si>
  <si>
    <t>IT Ops-IN</t>
  </si>
  <si>
    <t>50100597824771</t>
  </si>
  <si>
    <t>175698</t>
  </si>
  <si>
    <t>AVAPG9521H</t>
  </si>
  <si>
    <t>FS366</t>
  </si>
  <si>
    <t xml:space="preserve">Krishnaiah Idindla </t>
  </si>
  <si>
    <t>01-02-2023</t>
  </si>
  <si>
    <t>Office assistant</t>
  </si>
  <si>
    <t>50100585460748</t>
  </si>
  <si>
    <t>ACIPI4379N</t>
  </si>
  <si>
    <t>FS382</t>
  </si>
  <si>
    <t xml:space="preserve">Mohammad Rehan </t>
  </si>
  <si>
    <t>13-03-2023</t>
  </si>
  <si>
    <t>Senior Technical Recruiter</t>
  </si>
  <si>
    <t>50100283387289</t>
  </si>
  <si>
    <t>101334</t>
  </si>
  <si>
    <t>BVSPR8610M</t>
  </si>
  <si>
    <t>October 2025 Arrears have been included and the revised/hiked salary has been considered for November 2025 payroll And Oct-25 Allowance of 23,000 And In Nov25 It is 21,000</t>
  </si>
  <si>
    <t>FS383</t>
  </si>
  <si>
    <t>Prajwal Edla</t>
  </si>
  <si>
    <t>01-03-2023</t>
  </si>
  <si>
    <t>50100581868240</t>
  </si>
  <si>
    <t>71931</t>
  </si>
  <si>
    <t>ADJPE9582H</t>
  </si>
  <si>
    <t>FS389</t>
  </si>
  <si>
    <t xml:space="preserve">Priyanka bandaru </t>
  </si>
  <si>
    <t>03-04-2023</t>
  </si>
  <si>
    <t>Software Development Engineer in Test - I</t>
  </si>
  <si>
    <t>Support Function-IN</t>
  </si>
  <si>
    <t>50100623632823</t>
  </si>
  <si>
    <t>89345</t>
  </si>
  <si>
    <t>GGGPP2068K</t>
  </si>
  <si>
    <t>FS392</t>
  </si>
  <si>
    <t xml:space="preserve">Lavanya Gorrela </t>
  </si>
  <si>
    <t>50100465382161</t>
  </si>
  <si>
    <t>65964</t>
  </si>
  <si>
    <t>DCPPG7635P</t>
  </si>
  <si>
    <t>FS397</t>
  </si>
  <si>
    <t>MANIKONDA SRAVANI</t>
  </si>
  <si>
    <t>27</t>
  </si>
  <si>
    <t>50100465382122</t>
  </si>
  <si>
    <t>FCBPM4330P</t>
  </si>
  <si>
    <t>Due to Exit on 21-11-2025</t>
  </si>
  <si>
    <t>FS398</t>
  </si>
  <si>
    <t xml:space="preserve">Majji UdayaKeerthi </t>
  </si>
  <si>
    <t>50100435139160</t>
  </si>
  <si>
    <t>LYBPK7779N</t>
  </si>
  <si>
    <t>FS404</t>
  </si>
  <si>
    <t xml:space="preserve">Lakshmanarao Kodela </t>
  </si>
  <si>
    <t>50100467103426</t>
  </si>
  <si>
    <t>93242</t>
  </si>
  <si>
    <t>BOQPL1690J</t>
  </si>
  <si>
    <t>FS406</t>
  </si>
  <si>
    <t xml:space="preserve">Ramesh Ganamana </t>
  </si>
  <si>
    <t>50100467103287</t>
  </si>
  <si>
    <t>73758</t>
  </si>
  <si>
    <t>DCOPG6598A</t>
  </si>
  <si>
    <t>FS407</t>
  </si>
  <si>
    <t xml:space="preserve">Rakesh Chappa </t>
  </si>
  <si>
    <t>50100467103274</t>
  </si>
  <si>
    <t>FPEPR1504G</t>
  </si>
  <si>
    <t>FS408</t>
  </si>
  <si>
    <t>Satrapu Bhargavchandar</t>
  </si>
  <si>
    <t>50100467103261</t>
  </si>
  <si>
    <t>NVDPS5556Q</t>
  </si>
  <si>
    <t>FS409</t>
  </si>
  <si>
    <t>Kunkupudi Saikumar</t>
  </si>
  <si>
    <t>50100465382313</t>
  </si>
  <si>
    <t>PJHPS5715K</t>
  </si>
  <si>
    <t>FS414</t>
  </si>
  <si>
    <t>Veladi Siva Chanakya</t>
  </si>
  <si>
    <t>13-04-2023</t>
  </si>
  <si>
    <t>Associate Vice President – Talent Acquisition</t>
  </si>
  <si>
    <t>50100069733522</t>
  </si>
  <si>
    <t>392516</t>
  </si>
  <si>
    <t>AIYPV7088H</t>
  </si>
  <si>
    <t>FS415</t>
  </si>
  <si>
    <t xml:space="preserve">Ankush Gawande </t>
  </si>
  <si>
    <t>17-04-2023</t>
  </si>
  <si>
    <t>50100214282495</t>
  </si>
  <si>
    <t>361946</t>
  </si>
  <si>
    <t>AXQPG6662D</t>
  </si>
  <si>
    <t>FS416</t>
  </si>
  <si>
    <t xml:space="preserve">Saurabh Jaiswal </t>
  </si>
  <si>
    <t>19-04-2023</t>
  </si>
  <si>
    <t>50100617500151</t>
  </si>
  <si>
    <t>337395</t>
  </si>
  <si>
    <t>AQJPJ8448C</t>
  </si>
  <si>
    <t>FS423</t>
  </si>
  <si>
    <t>Keerthana Chalasani</t>
  </si>
  <si>
    <t>Cyber Security</t>
  </si>
  <si>
    <t>26-06-2023</t>
  </si>
  <si>
    <t>20</t>
  </si>
  <si>
    <t>50100625029294</t>
  </si>
  <si>
    <t>237613</t>
  </si>
  <si>
    <t>BEDPC3812E</t>
  </si>
  <si>
    <t>Due to Exit on 14-11-2025 With Tds Effect</t>
  </si>
  <si>
    <t>FS424</t>
  </si>
  <si>
    <t>Kawalpreet Kaur</t>
  </si>
  <si>
    <t>29-06-2023</t>
  </si>
  <si>
    <t>Associate Tech Lead</t>
  </si>
  <si>
    <t>50100646251544</t>
  </si>
  <si>
    <t>188704</t>
  </si>
  <si>
    <t>FHSPK2646L</t>
  </si>
  <si>
    <t>FS427</t>
  </si>
  <si>
    <t>Priyanka Mishra</t>
  </si>
  <si>
    <t>31-07-2023</t>
  </si>
  <si>
    <t>Sr. Manager – HR and OD (Org. Development)</t>
  </si>
  <si>
    <t>00811050111850</t>
  </si>
  <si>
    <t>215033</t>
  </si>
  <si>
    <t>AQYPM7591G</t>
  </si>
  <si>
    <t>FS430</t>
  </si>
  <si>
    <t>Roshan Kumar Nayak</t>
  </si>
  <si>
    <t>16-08-2023</t>
  </si>
  <si>
    <t>Software Development Engineer - I</t>
  </si>
  <si>
    <t>50100455936458</t>
  </si>
  <si>
    <t>CGDPN9550R</t>
  </si>
  <si>
    <t>FS431</t>
  </si>
  <si>
    <t>Aishwarya Sanku</t>
  </si>
  <si>
    <t>50100455936560</t>
  </si>
  <si>
    <t>KUQPS1551E</t>
  </si>
  <si>
    <t>FS433</t>
  </si>
  <si>
    <t>Kuncha Sai</t>
  </si>
  <si>
    <t>50100455936547</t>
  </si>
  <si>
    <t>35766</t>
  </si>
  <si>
    <t>MFOPS3525R</t>
  </si>
  <si>
    <t>FS434</t>
  </si>
  <si>
    <t>Priyakumari Ashokbhai Patel</t>
  </si>
  <si>
    <t>50100652418331</t>
  </si>
  <si>
    <t>FZIPP9956G</t>
  </si>
  <si>
    <t>FS435</t>
  </si>
  <si>
    <t>Kakkammagari Dhamodharam</t>
  </si>
  <si>
    <t>23-08-2023</t>
  </si>
  <si>
    <t>50100658430359</t>
  </si>
  <si>
    <t>FLFPD9737L</t>
  </si>
  <si>
    <t>FS436</t>
  </si>
  <si>
    <t>MUTHINENI MAHESH</t>
  </si>
  <si>
    <t>50100455936521</t>
  </si>
  <si>
    <t>GCDPM8733B</t>
  </si>
  <si>
    <t>FS437</t>
  </si>
  <si>
    <t>Samudrala Datta Siva Sai</t>
  </si>
  <si>
    <t>50100455936599</t>
  </si>
  <si>
    <t>NFWPS5761A</t>
  </si>
  <si>
    <t>FS438</t>
  </si>
  <si>
    <t>Sreenivasa H N</t>
  </si>
  <si>
    <t>50100653058569</t>
  </si>
  <si>
    <t>QZWPS4964N</t>
  </si>
  <si>
    <t>FS440</t>
  </si>
  <si>
    <t>Bevara Chandrasekhar</t>
  </si>
  <si>
    <t>50100595705421</t>
  </si>
  <si>
    <t>CGNPC5892F</t>
  </si>
  <si>
    <t>FS442</t>
  </si>
  <si>
    <t>Rakesh Pernati</t>
  </si>
  <si>
    <t>50100455936432</t>
  </si>
  <si>
    <t>81551</t>
  </si>
  <si>
    <t>FCKPP6076A</t>
  </si>
  <si>
    <t>FS443</t>
  </si>
  <si>
    <t>Kamireddy Siva Krishna Reddy</t>
  </si>
  <si>
    <t>50100595705418</t>
  </si>
  <si>
    <t>IHEPK7677G</t>
  </si>
  <si>
    <t>FS445</t>
  </si>
  <si>
    <t>Samundar Singh Rathore</t>
  </si>
  <si>
    <t>50100652418328</t>
  </si>
  <si>
    <t>DEZPR4144N</t>
  </si>
  <si>
    <t>FS447</t>
  </si>
  <si>
    <t>SHARATH LS</t>
  </si>
  <si>
    <t>50100652418370</t>
  </si>
  <si>
    <t>NKSPS4628K</t>
  </si>
  <si>
    <t>FS448</t>
  </si>
  <si>
    <t>Venna Siva Sankar Reddy</t>
  </si>
  <si>
    <t>50100653058520</t>
  </si>
  <si>
    <t>PAVPS5777Q</t>
  </si>
  <si>
    <t>FS449</t>
  </si>
  <si>
    <t>Akash HN</t>
  </si>
  <si>
    <t>50100653057681</t>
  </si>
  <si>
    <t>CMNPA1976Q</t>
  </si>
  <si>
    <t>FS450</t>
  </si>
  <si>
    <t>Rasamsetti Karthik Raja</t>
  </si>
  <si>
    <t>50100653057247</t>
  </si>
  <si>
    <t>32496</t>
  </si>
  <si>
    <t>FFFPR0291D</t>
  </si>
  <si>
    <t>FS451</t>
  </si>
  <si>
    <t>Devulapally Ruchitha</t>
  </si>
  <si>
    <t>50100653057718</t>
  </si>
  <si>
    <t>EDAPR0511N</t>
  </si>
  <si>
    <t>FS452</t>
  </si>
  <si>
    <t>Mannem Shirisha</t>
  </si>
  <si>
    <t>50100653057514</t>
  </si>
  <si>
    <t>OQRPS1667G</t>
  </si>
  <si>
    <t>FS454</t>
  </si>
  <si>
    <t>Dunaboyina Jyothi Sai Teja</t>
  </si>
  <si>
    <t>50100653058595</t>
  </si>
  <si>
    <t>CCVPJ7978R</t>
  </si>
  <si>
    <t>FS458</t>
  </si>
  <si>
    <t>Kotireddy Gudise</t>
  </si>
  <si>
    <t>30-08-2023</t>
  </si>
  <si>
    <t>50100620190452</t>
  </si>
  <si>
    <t>266296</t>
  </si>
  <si>
    <t>ATOPG9136G</t>
  </si>
  <si>
    <t>FS467</t>
  </si>
  <si>
    <t>Venkatesh Vysyaraju</t>
  </si>
  <si>
    <t>05-02-2024</t>
  </si>
  <si>
    <t>Associate Director- Business Development</t>
  </si>
  <si>
    <t>05451050122557</t>
  </si>
  <si>
    <t>226662</t>
  </si>
  <si>
    <t>AGQPV0481Q</t>
  </si>
  <si>
    <t>FS471</t>
  </si>
  <si>
    <t>Y Mallikarjuna Reddy</t>
  </si>
  <si>
    <t>28-03-2024</t>
  </si>
  <si>
    <t>Senior Manager- Learning and Development</t>
  </si>
  <si>
    <t>13781050038636</t>
  </si>
  <si>
    <t>169651</t>
  </si>
  <si>
    <t>ADZPY4464C</t>
  </si>
  <si>
    <t>FS472</t>
  </si>
  <si>
    <t>Sreemannarayana Reddy Mayaluri</t>
  </si>
  <si>
    <t>13-09-2024</t>
  </si>
  <si>
    <t>Vice President – Operations / Program Director</t>
  </si>
  <si>
    <t>99999849098915</t>
  </si>
  <si>
    <t>428400</t>
  </si>
  <si>
    <t>AFYPM4365D</t>
  </si>
  <si>
    <t>FS473</t>
  </si>
  <si>
    <t>Balla Sowmya</t>
  </si>
  <si>
    <t>01-04-2024</t>
  </si>
  <si>
    <t>QA-Manager/ Architect</t>
  </si>
  <si>
    <t>50100080906752</t>
  </si>
  <si>
    <t>229999</t>
  </si>
  <si>
    <t>BANPB5570Q</t>
  </si>
  <si>
    <t>FS474</t>
  </si>
  <si>
    <t>Arjun Gowda S</t>
  </si>
  <si>
    <t>08-05-2024</t>
  </si>
  <si>
    <t>Lead Engineer</t>
  </si>
  <si>
    <t>50100097912602</t>
  </si>
  <si>
    <t>231128</t>
  </si>
  <si>
    <t>BNHPA4655C</t>
  </si>
  <si>
    <t>FS478</t>
  </si>
  <si>
    <t>Mayuresh Prabhakar Wagh</t>
  </si>
  <si>
    <t>05-08-2024</t>
  </si>
  <si>
    <t>Senior Software Engineer</t>
  </si>
  <si>
    <t>50100472455201</t>
  </si>
  <si>
    <t>314081</t>
  </si>
  <si>
    <t>ACBPW2859E</t>
  </si>
  <si>
    <t>FS479</t>
  </si>
  <si>
    <t>Ankit Singh</t>
  </si>
  <si>
    <t>12-08-2024</t>
  </si>
  <si>
    <t>50100504550315</t>
  </si>
  <si>
    <t>325116</t>
  </si>
  <si>
    <t>HHTPS2897L</t>
  </si>
  <si>
    <t>FS482</t>
  </si>
  <si>
    <t>Damarakamalam Goutham Raj,</t>
  </si>
  <si>
    <t>11-09-2024</t>
  </si>
  <si>
    <t>50100763494721</t>
  </si>
  <si>
    <t>156740</t>
  </si>
  <si>
    <t>CTAPD1250J</t>
  </si>
  <si>
    <t>FS483</t>
  </si>
  <si>
    <t>Bellam Sreedhar</t>
  </si>
  <si>
    <t>23-09-2024</t>
  </si>
  <si>
    <t>1</t>
  </si>
  <si>
    <t>30</t>
  </si>
  <si>
    <t>50100760129200</t>
  </si>
  <si>
    <t>256210</t>
  </si>
  <si>
    <t>ESHPB2171J</t>
  </si>
  <si>
    <t>October 2025 Arrears have been included and the revised/hiked salary has been considered for November 2025 payroll Including 1 Lop</t>
  </si>
  <si>
    <t>FS485</t>
  </si>
  <si>
    <t>V  Hema Chandra</t>
  </si>
  <si>
    <t>25-09-2024</t>
  </si>
  <si>
    <t>Senior QA - Performance Test Engineer</t>
  </si>
  <si>
    <t>50100463811537</t>
  </si>
  <si>
    <t>147599</t>
  </si>
  <si>
    <t>AMWPH8894B</t>
  </si>
  <si>
    <t>FS486</t>
  </si>
  <si>
    <t>Anisha Rani</t>
  </si>
  <si>
    <t>01-10-2024</t>
  </si>
  <si>
    <t>Associate Software Engineer</t>
  </si>
  <si>
    <t>50100760130339</t>
  </si>
  <si>
    <t>25826</t>
  </si>
  <si>
    <t>ELFPR2636D</t>
  </si>
  <si>
    <t>FS487</t>
  </si>
  <si>
    <t>Jaggumantri Jyothi Bhargavi</t>
  </si>
  <si>
    <t>50100760130326</t>
  </si>
  <si>
    <t>36773</t>
  </si>
  <si>
    <t>GSPPB2115A</t>
  </si>
  <si>
    <t>FS488</t>
  </si>
  <si>
    <t>Bayapureddy Mula Rajeswari</t>
  </si>
  <si>
    <t>50100760130313</t>
  </si>
  <si>
    <t>26869</t>
  </si>
  <si>
    <t>GNXPB3009N</t>
  </si>
  <si>
    <t>FS489</t>
  </si>
  <si>
    <t>Dumpeti Supriya</t>
  </si>
  <si>
    <t>50100760130342</t>
  </si>
  <si>
    <t>HEIPD4422N</t>
  </si>
  <si>
    <t>FS490</t>
  </si>
  <si>
    <t>Rakhi Mandal</t>
  </si>
  <si>
    <t>Associate software engineer</t>
  </si>
  <si>
    <t>50100760130289</t>
  </si>
  <si>
    <t>HJRPM3465E</t>
  </si>
  <si>
    <t>FS491</t>
  </si>
  <si>
    <t>Ale Keerthi</t>
  </si>
  <si>
    <t>50100760130292</t>
  </si>
  <si>
    <t>DXDPA4935D</t>
  </si>
  <si>
    <t>FS492</t>
  </si>
  <si>
    <t>Jeela Mounika</t>
  </si>
  <si>
    <t>50100760130276</t>
  </si>
  <si>
    <t>IDTPM2806Q</t>
  </si>
  <si>
    <t>FS493</t>
  </si>
  <si>
    <t>Subhrajita Parida</t>
  </si>
  <si>
    <t>50100760130300</t>
  </si>
  <si>
    <t>HADPP1551H</t>
  </si>
  <si>
    <t>FS494</t>
  </si>
  <si>
    <t>Goje Vaishali</t>
  </si>
  <si>
    <t>50100760130250</t>
  </si>
  <si>
    <t>BQKPV0146D</t>
  </si>
  <si>
    <t>FS495</t>
  </si>
  <si>
    <t>Katta Shivani</t>
  </si>
  <si>
    <t>50100760130263</t>
  </si>
  <si>
    <t>IRYPK6775H</t>
  </si>
  <si>
    <t>FS497</t>
  </si>
  <si>
    <t>Omkaram Chiranjeevulu</t>
  </si>
  <si>
    <t>31-10-2024</t>
  </si>
  <si>
    <t>Senior Software Engineer -Angular</t>
  </si>
  <si>
    <t>50100536713492</t>
  </si>
  <si>
    <t>155622</t>
  </si>
  <si>
    <t>ADBPO9608A</t>
  </si>
  <si>
    <t>FS498</t>
  </si>
  <si>
    <t>A Pragnasri</t>
  </si>
  <si>
    <t>25-11-2024</t>
  </si>
  <si>
    <t>Corporate Experience and Operations Manager</t>
  </si>
  <si>
    <t>50100765174814</t>
  </si>
  <si>
    <t>62937</t>
  </si>
  <si>
    <t>CFLPP0486H</t>
  </si>
  <si>
    <t>FS499</t>
  </si>
  <si>
    <t>Menni Manish</t>
  </si>
  <si>
    <t>27-11-2024</t>
  </si>
  <si>
    <t>QA- Automation lead</t>
  </si>
  <si>
    <t>40593323288</t>
  </si>
  <si>
    <t>167200</t>
  </si>
  <si>
    <t>DEKPM4471Q</t>
  </si>
  <si>
    <t>FS500</t>
  </si>
  <si>
    <t>Madamanchi Deepa</t>
  </si>
  <si>
    <t>28-11-2024</t>
  </si>
  <si>
    <t>QA Lead - Functional Testing</t>
  </si>
  <si>
    <t>50100117434666</t>
  </si>
  <si>
    <t>156533</t>
  </si>
  <si>
    <t>CENPD7242A</t>
  </si>
  <si>
    <t>FS502</t>
  </si>
  <si>
    <t>Maila Savitha</t>
  </si>
  <si>
    <t>23-12-2024</t>
  </si>
  <si>
    <t>41353282759</t>
  </si>
  <si>
    <t>159492</t>
  </si>
  <si>
    <t>CMWPM1908F</t>
  </si>
  <si>
    <t>FS503</t>
  </si>
  <si>
    <t>Munigadapa Dinesh</t>
  </si>
  <si>
    <t>31-12-2024</t>
  </si>
  <si>
    <t>Senior QA Engineer</t>
  </si>
  <si>
    <t>50100211832181</t>
  </si>
  <si>
    <t>175811</t>
  </si>
  <si>
    <t>DIOPM7175M</t>
  </si>
  <si>
    <t>FS504</t>
  </si>
  <si>
    <t>GUNDRA SHIVA</t>
  </si>
  <si>
    <t>02-01-2025</t>
  </si>
  <si>
    <t>QA-Functional Lead</t>
  </si>
  <si>
    <t>50100531646541</t>
  </si>
  <si>
    <t>134492</t>
  </si>
  <si>
    <t>GNYPS4258D</t>
  </si>
  <si>
    <t>FS505</t>
  </si>
  <si>
    <t>Kommireddy Sai Venkat Kumar</t>
  </si>
  <si>
    <t>08-01-2025</t>
  </si>
  <si>
    <t>Senior Manager -Talent Acquisition</t>
  </si>
  <si>
    <t>20523323406</t>
  </si>
  <si>
    <t>138908</t>
  </si>
  <si>
    <t>BEMPK4145M</t>
  </si>
  <si>
    <t>FS507</t>
  </si>
  <si>
    <t>Arpit Nain</t>
  </si>
  <si>
    <t>15-01-2025</t>
  </si>
  <si>
    <t>Senior Technical Consultant</t>
  </si>
  <si>
    <t>50100225065421</t>
  </si>
  <si>
    <t>177100</t>
  </si>
  <si>
    <t>AWYPN8620P</t>
  </si>
  <si>
    <t>Shift Allowance of 10,500 in Nov And In Oct 10,000</t>
  </si>
  <si>
    <t>FS508</t>
  </si>
  <si>
    <t>Kukkala Ramya</t>
  </si>
  <si>
    <t>20-01-2025</t>
  </si>
  <si>
    <t>50100483336254</t>
  </si>
  <si>
    <t>148567</t>
  </si>
  <si>
    <t>DYDPK8982D</t>
  </si>
  <si>
    <t>FS509</t>
  </si>
  <si>
    <t>Janapati Praveena</t>
  </si>
  <si>
    <t>23-01-2025</t>
  </si>
  <si>
    <t>Technical Lead -RPA</t>
  </si>
  <si>
    <t>50100058048437</t>
  </si>
  <si>
    <t>198458</t>
  </si>
  <si>
    <t>AYEPJ2196A</t>
  </si>
  <si>
    <t>FS510</t>
  </si>
  <si>
    <t>Sahukari Ananda Rao</t>
  </si>
  <si>
    <t>05-02-2025</t>
  </si>
  <si>
    <t>Technical Lead</t>
  </si>
  <si>
    <t>50100347253839</t>
  </si>
  <si>
    <t>257133</t>
  </si>
  <si>
    <t>CDKPR2160M</t>
  </si>
  <si>
    <t>FS512</t>
  </si>
  <si>
    <t>ABHIRAJ KAMALKISHOR KAKANI</t>
  </si>
  <si>
    <t>17-02-2025</t>
  </si>
  <si>
    <t>16</t>
  </si>
  <si>
    <t>Senior Manager Analytics</t>
  </si>
  <si>
    <t>50100143912633</t>
  </si>
  <si>
    <t>252367</t>
  </si>
  <si>
    <t>BVFPK4139K</t>
  </si>
  <si>
    <t>Due to Exit on 10-11-2025</t>
  </si>
  <si>
    <t>FS513</t>
  </si>
  <si>
    <t>Kuthala suresh</t>
  </si>
  <si>
    <t>Finance</t>
  </si>
  <si>
    <t>Manager - Finance</t>
  </si>
  <si>
    <t>AR, AP-IN</t>
  </si>
  <si>
    <t>33069435075</t>
  </si>
  <si>
    <t>118344</t>
  </si>
  <si>
    <t>DDCPK6252E</t>
  </si>
  <si>
    <t>FS514</t>
  </si>
  <si>
    <t>Medishetty Rohith</t>
  </si>
  <si>
    <t>18-02-2025</t>
  </si>
  <si>
    <t>50100440374505</t>
  </si>
  <si>
    <t>67367</t>
  </si>
  <si>
    <t>EHLPR0963P</t>
  </si>
  <si>
    <t>Shift Allowance of 15,000 in Nov And In Oct 10,000 And Extra Deduction of 600</t>
  </si>
  <si>
    <t>FS516</t>
  </si>
  <si>
    <t>Mantina Akhil Deepak</t>
  </si>
  <si>
    <t>42029299062</t>
  </si>
  <si>
    <t>153907</t>
  </si>
  <si>
    <t>CWQPM7318K</t>
  </si>
  <si>
    <t>FS517</t>
  </si>
  <si>
    <t>Annapureddy Rajeswari</t>
  </si>
  <si>
    <t>03-03-2025</t>
  </si>
  <si>
    <t>50100797179881</t>
  </si>
  <si>
    <t>24320</t>
  </si>
  <si>
    <t>DSOPA1692F</t>
  </si>
  <si>
    <t>FS518</t>
  </si>
  <si>
    <t>Goriparthi Naga Sreelatha</t>
  </si>
  <si>
    <t>50100527071552</t>
  </si>
  <si>
    <t>PGEPS7611J</t>
  </si>
  <si>
    <t>FS519</t>
  </si>
  <si>
    <t>CHETANA ANANT NAIK</t>
  </si>
  <si>
    <t>50100797179829</t>
  </si>
  <si>
    <t>CWXPN2020G</t>
  </si>
  <si>
    <t>FS521</t>
  </si>
  <si>
    <t>Sumit Bhowmick</t>
  </si>
  <si>
    <t>AI/ML Delivery</t>
  </si>
  <si>
    <t>06-03-2025</t>
  </si>
  <si>
    <t>Director-AI/ML Solutions</t>
  </si>
  <si>
    <t>AI/ML</t>
  </si>
  <si>
    <t>03341000047837</t>
  </si>
  <si>
    <t>485707</t>
  </si>
  <si>
    <t>AMTPB2190F</t>
  </si>
  <si>
    <t>FS524</t>
  </si>
  <si>
    <t>Puli siddhartha</t>
  </si>
  <si>
    <t>14-03-2025</t>
  </si>
  <si>
    <t>50100718242427</t>
  </si>
  <si>
    <t>155700</t>
  </si>
  <si>
    <t>EUQPP7893L</t>
  </si>
  <si>
    <t>FS525</t>
  </si>
  <si>
    <t>Enugandla Shreevathsa Varma</t>
  </si>
  <si>
    <t>19-03-2025</t>
  </si>
  <si>
    <t>52016276942</t>
  </si>
  <si>
    <t>230067</t>
  </si>
  <si>
    <t>ABWPE7943B</t>
  </si>
  <si>
    <t>FS527</t>
  </si>
  <si>
    <t>Adarsh Verma</t>
  </si>
  <si>
    <t>26-03-2025</t>
  </si>
  <si>
    <t>50100400188671</t>
  </si>
  <si>
    <t>202367</t>
  </si>
  <si>
    <t>BTPPV9574F</t>
  </si>
  <si>
    <t>FS528</t>
  </si>
  <si>
    <t>Radheshyam Saini</t>
  </si>
  <si>
    <t>27-03-2025</t>
  </si>
  <si>
    <t>50100522442114</t>
  </si>
  <si>
    <t>205700</t>
  </si>
  <si>
    <t>MZQPS3120J</t>
  </si>
  <si>
    <t xml:space="preserve">Shift Allowance of 15,000 in Nov   </t>
  </si>
  <si>
    <t>FS529</t>
  </si>
  <si>
    <t>Modugu Jawahar Babu</t>
  </si>
  <si>
    <t>01-04-2025</t>
  </si>
  <si>
    <t>20027428313</t>
  </si>
  <si>
    <t>BUEPM6837Q</t>
  </si>
  <si>
    <t>FS530</t>
  </si>
  <si>
    <t>SITHARLA BHOJESH</t>
  </si>
  <si>
    <t>02-04-2025</t>
  </si>
  <si>
    <t>50100440968421</t>
  </si>
  <si>
    <t>123200</t>
  </si>
  <si>
    <t>EGPPB0181J</t>
  </si>
  <si>
    <t>FS531</t>
  </si>
  <si>
    <t>Karre Jayanth</t>
  </si>
  <si>
    <t>03-04-2025</t>
  </si>
  <si>
    <t>44013947619</t>
  </si>
  <si>
    <t>204450</t>
  </si>
  <si>
    <t>DJZPK7717M</t>
  </si>
  <si>
    <t>FS532</t>
  </si>
  <si>
    <t>Haneen Ahemed A</t>
  </si>
  <si>
    <t>07-04-2025</t>
  </si>
  <si>
    <t>20394111098</t>
  </si>
  <si>
    <t>206533</t>
  </si>
  <si>
    <t>COAPA9979J</t>
  </si>
  <si>
    <t>FS534</t>
  </si>
  <si>
    <t>PRAVEEN VASA</t>
  </si>
  <si>
    <t>14-04-2025</t>
  </si>
  <si>
    <t>62349303860</t>
  </si>
  <si>
    <t>277667</t>
  </si>
  <si>
    <t>CYAPP6247E</t>
  </si>
  <si>
    <t>FS535</t>
  </si>
  <si>
    <t>MUPPALLA SUMAN</t>
  </si>
  <si>
    <t>21-04-2025</t>
  </si>
  <si>
    <t>50100220129813</t>
  </si>
  <si>
    <t>229700</t>
  </si>
  <si>
    <t>CVIPM1961K</t>
  </si>
  <si>
    <t>FS536</t>
  </si>
  <si>
    <t>A R Danish</t>
  </si>
  <si>
    <t>24-04-2025</t>
  </si>
  <si>
    <t>50100416824401</t>
  </si>
  <si>
    <t>183260</t>
  </si>
  <si>
    <t>HACPD2297H</t>
  </si>
  <si>
    <t>Exited On 10-11-2025 And Oct Shift Allowance of 17000 And Tds Effect Due to Exit</t>
  </si>
  <si>
    <t>FS537</t>
  </si>
  <si>
    <t>Dasa Sirish Kumar</t>
  </si>
  <si>
    <t>10-04-2025</t>
  </si>
  <si>
    <t>Manager -QA/ Senior Tech Architect</t>
  </si>
  <si>
    <t>50100788996758</t>
  </si>
  <si>
    <t>330976</t>
  </si>
  <si>
    <t>BDOPD5051L</t>
  </si>
  <si>
    <t>FS538</t>
  </si>
  <si>
    <t>Jonnadula Sathish</t>
  </si>
  <si>
    <t>29-04-2025</t>
  </si>
  <si>
    <t>50100170189328</t>
  </si>
  <si>
    <t>BEKPJ6169J</t>
  </si>
  <si>
    <t>FS539</t>
  </si>
  <si>
    <t>DEEKONDA SRINIVAS</t>
  </si>
  <si>
    <t>02-05-2025</t>
  </si>
  <si>
    <t>50100804753783</t>
  </si>
  <si>
    <t>CCDPD8832J</t>
  </si>
  <si>
    <t>FS540</t>
  </si>
  <si>
    <t>KUMMARI GNANESHWAR</t>
  </si>
  <si>
    <t>50100804753757</t>
  </si>
  <si>
    <t>148200</t>
  </si>
  <si>
    <t>CQOPK0073R</t>
  </si>
  <si>
    <t>FS541</t>
  </si>
  <si>
    <t>Palakurthi Sudheer</t>
  </si>
  <si>
    <t>05-05-2025</t>
  </si>
  <si>
    <t>Director-Talent Acquistion Americas</t>
  </si>
  <si>
    <t>US Staffing</t>
  </si>
  <si>
    <t>15541610003118</t>
  </si>
  <si>
    <t>265442</t>
  </si>
  <si>
    <t>AVPPP7284H</t>
  </si>
  <si>
    <t>Due to Incentive of 41,700 in Nov-25</t>
  </si>
  <si>
    <t>FS542</t>
  </si>
  <si>
    <t>Pratti Lakshmana Kumar</t>
  </si>
  <si>
    <t>07-05-2025</t>
  </si>
  <si>
    <t>Manager -HR</t>
  </si>
  <si>
    <t>50100196785151</t>
  </si>
  <si>
    <t>128972</t>
  </si>
  <si>
    <t>AYXPP2964M</t>
  </si>
  <si>
    <t>FS543</t>
  </si>
  <si>
    <t>TIRANAM SRI RAVI CHANDRA</t>
  </si>
  <si>
    <t>12-05-2025</t>
  </si>
  <si>
    <t>Lead -IT Infrastructure</t>
  </si>
  <si>
    <t>32989690434</t>
  </si>
  <si>
    <t>51775</t>
  </si>
  <si>
    <t>BAQPT3369C</t>
  </si>
  <si>
    <t>FS544</t>
  </si>
  <si>
    <t>Najmudin Rain</t>
  </si>
  <si>
    <t>50100580581100</t>
  </si>
  <si>
    <t>125200</t>
  </si>
  <si>
    <t>FTGPR4946J</t>
  </si>
  <si>
    <t>Shift Allowance of 22,000 in Nov,In Oct it is 16,000</t>
  </si>
  <si>
    <t>FS546</t>
  </si>
  <si>
    <t>Nisanth K P</t>
  </si>
  <si>
    <t>22-05-2025</t>
  </si>
  <si>
    <t>50100160244815</t>
  </si>
  <si>
    <t>282800</t>
  </si>
  <si>
    <t>AVDPN7289G</t>
  </si>
  <si>
    <t>Shift Allowance of 22,000 in Nov,In Oct it is 20,000</t>
  </si>
  <si>
    <t>FS548</t>
  </si>
  <si>
    <t>Suryaprakash Mandalaneni</t>
  </si>
  <si>
    <t>03-06-2025</t>
  </si>
  <si>
    <t>50100250903840</t>
  </si>
  <si>
    <t>219117</t>
  </si>
  <si>
    <t>CUCPM2914F</t>
  </si>
  <si>
    <t>Tds on Shift Allowance of Nov 19,000 And In Oct Shift Allowance is 20,000</t>
  </si>
  <si>
    <t>FS549</t>
  </si>
  <si>
    <t>Tanguturi Madhu Latha</t>
  </si>
  <si>
    <t>Executive- Talent Acquisition</t>
  </si>
  <si>
    <t>50100815930580</t>
  </si>
  <si>
    <t>15333</t>
  </si>
  <si>
    <t>HBZPM2780J</t>
  </si>
  <si>
    <t>FS550</t>
  </si>
  <si>
    <t>Neredugomma Rohith Rao</t>
  </si>
  <si>
    <t>05-06-2025</t>
  </si>
  <si>
    <t>50100726406692</t>
  </si>
  <si>
    <t>250817</t>
  </si>
  <si>
    <t>AWVPN8678A</t>
  </si>
  <si>
    <t>Shift Allowance of 18,000 in Nov,In Oct it is 21,000</t>
  </si>
  <si>
    <t>FS551</t>
  </si>
  <si>
    <t>Sirigireddy Shanthi</t>
  </si>
  <si>
    <t>09-06-2025</t>
  </si>
  <si>
    <t>50100800762544</t>
  </si>
  <si>
    <t>32497</t>
  </si>
  <si>
    <t>CEZPS2714C</t>
  </si>
  <si>
    <t>FS552</t>
  </si>
  <si>
    <t>Neha</t>
  </si>
  <si>
    <t>11-06-2025</t>
  </si>
  <si>
    <t>50100465928083</t>
  </si>
  <si>
    <t>246708</t>
  </si>
  <si>
    <t>CGVPN6575Q</t>
  </si>
  <si>
    <t>Shift Allowance of 14,000 in Nov,In Oct it is 19,000 And LOP Of 4 Days in Oct</t>
  </si>
  <si>
    <t>FS554</t>
  </si>
  <si>
    <t>Raghunandan Gundu</t>
  </si>
  <si>
    <t>26-06-2025</t>
  </si>
  <si>
    <t>50100822500517</t>
  </si>
  <si>
    <t>BJOPG3708H</t>
  </si>
  <si>
    <t>FS555</t>
  </si>
  <si>
    <t>Bandanadham Lourdhu Raju</t>
  </si>
  <si>
    <t>50100420680066</t>
  </si>
  <si>
    <t>CTAPB8314B</t>
  </si>
  <si>
    <t>FS556</t>
  </si>
  <si>
    <t>Chimmiri Ruthvik</t>
  </si>
  <si>
    <t>07-07-2025</t>
  </si>
  <si>
    <t>62252565177</t>
  </si>
  <si>
    <t>235050</t>
  </si>
  <si>
    <t>AYWPC0902B</t>
  </si>
  <si>
    <t xml:space="preserve">Shift Allowance of 21,000 in Nov,In Oct it is 22,000 </t>
  </si>
  <si>
    <t>FS557</t>
  </si>
  <si>
    <t>Boda Raja</t>
  </si>
  <si>
    <t>62418945971</t>
  </si>
  <si>
    <t>EUCPR3669Q</t>
  </si>
  <si>
    <t>FS558</t>
  </si>
  <si>
    <t>Endla Mohan</t>
  </si>
  <si>
    <t>16-07-2025</t>
  </si>
  <si>
    <t>Senior Talent Acquistion Executive - Americas</t>
  </si>
  <si>
    <t>50100408223469</t>
  </si>
  <si>
    <t>122367</t>
  </si>
  <si>
    <t>EWEPM9621R</t>
  </si>
  <si>
    <t>Incentive of Rs.40,000 in Nov</t>
  </si>
  <si>
    <t>FS560</t>
  </si>
  <si>
    <t>Konala Venkata Tammiraju</t>
  </si>
  <si>
    <t>28-07-2025</t>
  </si>
  <si>
    <t>Senior Data Engineer</t>
  </si>
  <si>
    <t>50100058882451</t>
  </si>
  <si>
    <t>AVJPT3922E</t>
  </si>
  <si>
    <t>due to Oct Bonus of 50000</t>
  </si>
  <si>
    <t>FS561</t>
  </si>
  <si>
    <t>Shilpa Ram Koli</t>
  </si>
  <si>
    <t>04-08-2025</t>
  </si>
  <si>
    <t>Salesforce Consultant</t>
  </si>
  <si>
    <t>50100831450271</t>
  </si>
  <si>
    <t>94033</t>
  </si>
  <si>
    <t>LCNPK4204L</t>
  </si>
  <si>
    <t>FS563</t>
  </si>
  <si>
    <t>Sripathi Venkata Raju</t>
  </si>
  <si>
    <t>05-08-2025</t>
  </si>
  <si>
    <t>31852050280</t>
  </si>
  <si>
    <t>173907</t>
  </si>
  <si>
    <t>GFQPS0050P</t>
  </si>
  <si>
    <t xml:space="preserve">Shift Allowance of 20,000 in Nov,In Oct it is 21,000 </t>
  </si>
  <si>
    <t>FS564</t>
  </si>
  <si>
    <t>Kundarapu Rajitha</t>
  </si>
  <si>
    <t>06-08-2025</t>
  </si>
  <si>
    <t>Lead QA Engineer</t>
  </si>
  <si>
    <t>'05181530007173</t>
  </si>
  <si>
    <t>146767</t>
  </si>
  <si>
    <t>CGTPK6938A</t>
  </si>
  <si>
    <t>FS566</t>
  </si>
  <si>
    <t>Shankar Gounder</t>
  </si>
  <si>
    <t>12-08-2025</t>
  </si>
  <si>
    <t>917010047826850</t>
  </si>
  <si>
    <t>AXIS BANK</t>
  </si>
  <si>
    <t>174533</t>
  </si>
  <si>
    <t>BCEPG7091J</t>
  </si>
  <si>
    <t>FS567</t>
  </si>
  <si>
    <t>Riaz Ahmed MG</t>
  </si>
  <si>
    <t>18-08-2025</t>
  </si>
  <si>
    <t>Senior Software Engineer I</t>
  </si>
  <si>
    <t>50100831450117</t>
  </si>
  <si>
    <t>182117</t>
  </si>
  <si>
    <t>CGAPR5134E</t>
  </si>
  <si>
    <t>FS568</t>
  </si>
  <si>
    <t>PRANSHU KUMAR SINGH</t>
  </si>
  <si>
    <t>50100248223912</t>
  </si>
  <si>
    <t>210700</t>
  </si>
  <si>
    <t>FWQPS8950G</t>
  </si>
  <si>
    <t xml:space="preserve">Shift Allowance of 20,000 in Nov,In Oct it is 22,000 </t>
  </si>
  <si>
    <t>FS569</t>
  </si>
  <si>
    <t>Kavuri Sree Sumanth</t>
  </si>
  <si>
    <t>26-08-2025</t>
  </si>
  <si>
    <t>Senior Platform Engineer</t>
  </si>
  <si>
    <t>38511098630</t>
  </si>
  <si>
    <t>215450</t>
  </si>
  <si>
    <t>ELQPK1073J</t>
  </si>
  <si>
    <t>Shift Allowance of 14,000 in Nov,In Oct Extra Payments Are Rs.33,246(20,000 Shift Allowance And 13,246 As Others)</t>
  </si>
  <si>
    <t>FS570</t>
  </si>
  <si>
    <t>Kongani Venkat Rao</t>
  </si>
  <si>
    <t>Corporate</t>
  </si>
  <si>
    <t>28-08-2025</t>
  </si>
  <si>
    <t>Senior Vice President - Delivery and Client Success</t>
  </si>
  <si>
    <t>Digital Engineering</t>
  </si>
  <si>
    <t>03171140005218</t>
  </si>
  <si>
    <t>594286</t>
  </si>
  <si>
    <t>AISPK4392H</t>
  </si>
  <si>
    <t>FS571</t>
  </si>
  <si>
    <t>Bingi Avinash Goud</t>
  </si>
  <si>
    <t>50100217527652</t>
  </si>
  <si>
    <t>140117</t>
  </si>
  <si>
    <t>BJLPG7110G</t>
  </si>
  <si>
    <t>FS572</t>
  </si>
  <si>
    <t>Kodam Srikanth</t>
  </si>
  <si>
    <t>40771434691</t>
  </si>
  <si>
    <t>120533</t>
  </si>
  <si>
    <t>IFNPK6164P</t>
  </si>
  <si>
    <t>FS573</t>
  </si>
  <si>
    <t>Vikas Gunvant Jadhawar</t>
  </si>
  <si>
    <t>20202833398</t>
  </si>
  <si>
    <t>190667</t>
  </si>
  <si>
    <t>AZTPJ1395B</t>
  </si>
  <si>
    <t>FS574</t>
  </si>
  <si>
    <t>Hemantha Sai Sekhar Tummalapalli</t>
  </si>
  <si>
    <t>01-09-2025</t>
  </si>
  <si>
    <t>50100832231368</t>
  </si>
  <si>
    <t>226254</t>
  </si>
  <si>
    <t>AQMPT9223C</t>
  </si>
  <si>
    <t>FS575</t>
  </si>
  <si>
    <t>Ponnaboina Kiran Kumar</t>
  </si>
  <si>
    <t>08-09-2025</t>
  </si>
  <si>
    <t>50100834034694</t>
  </si>
  <si>
    <t>NDVPK5225C</t>
  </si>
  <si>
    <t>FS576</t>
  </si>
  <si>
    <t>Sheik Sadik</t>
  </si>
  <si>
    <t>10-09-2025</t>
  </si>
  <si>
    <t>20243520671</t>
  </si>
  <si>
    <t>GCSPS7356P</t>
  </si>
  <si>
    <t>FS577</t>
  </si>
  <si>
    <t>Ulli Anil Kumar Naidu</t>
  </si>
  <si>
    <t>12-09-2025</t>
  </si>
  <si>
    <t>50100460280817</t>
  </si>
  <si>
    <t>160700</t>
  </si>
  <si>
    <t>ACEPU2314H</t>
  </si>
  <si>
    <t>FS578</t>
  </si>
  <si>
    <t>Vala Divya</t>
  </si>
  <si>
    <t>17-09-2025</t>
  </si>
  <si>
    <t>50100021611622</t>
  </si>
  <si>
    <t>222783</t>
  </si>
  <si>
    <t>ATNPV7029C</t>
  </si>
  <si>
    <t>Due Hold Release Of Sep-25 Salary in Oct-25</t>
  </si>
  <si>
    <t>FS579</t>
  </si>
  <si>
    <t>Musuku Sunhith Reddy</t>
  </si>
  <si>
    <t>18-09-2025</t>
  </si>
  <si>
    <t>230301500883</t>
  </si>
  <si>
    <t>ICICI BANK LIMITED</t>
  </si>
  <si>
    <t>205989</t>
  </si>
  <si>
    <t>CLTPM8793C</t>
  </si>
  <si>
    <t>Due Hold Release Of Sep-25 Salary in Oct-25 And Shift Allowance of 19,000 in Nov25</t>
  </si>
  <si>
    <t>FS580</t>
  </si>
  <si>
    <t>Shubham Kumar</t>
  </si>
  <si>
    <t>Product Engeering</t>
  </si>
  <si>
    <t>29-09-2025</t>
  </si>
  <si>
    <t>50100319787943</t>
  </si>
  <si>
    <t>167283</t>
  </si>
  <si>
    <t>GPVPK1759E</t>
  </si>
  <si>
    <t>Due to Mid Joining in Oct-25 And Insurance Deduction of 10,000 In Oct-25</t>
  </si>
  <si>
    <t>FS581</t>
  </si>
  <si>
    <t>Tadi Sharath</t>
  </si>
  <si>
    <t>50100841551827</t>
  </si>
  <si>
    <t>198333</t>
  </si>
  <si>
    <t>AYQPT4555P</t>
  </si>
  <si>
    <t>Due to Mid Joining in Oct-25</t>
  </si>
  <si>
    <t>FS583</t>
  </si>
  <si>
    <t>Muthanapalli Visal</t>
  </si>
  <si>
    <t>06-10-2025</t>
  </si>
  <si>
    <t>260310100020375</t>
  </si>
  <si>
    <t>UNION BANK OF INDIA</t>
  </si>
  <si>
    <t>252725</t>
  </si>
  <si>
    <t>EKTPM9832F</t>
  </si>
  <si>
    <t>Due to Mid Joining in Oct-25 and Shift Allowance of 19000 in Nov25</t>
  </si>
  <si>
    <t>FS584</t>
  </si>
  <si>
    <t>Karpuram Dhanalakshmi Srivani</t>
  </si>
  <si>
    <t>15-10-2025</t>
  </si>
  <si>
    <t>20338480733</t>
  </si>
  <si>
    <t>256377</t>
  </si>
  <si>
    <t>HAHPS7198F</t>
  </si>
  <si>
    <t>FS585</t>
  </si>
  <si>
    <t>YADAV SHUBHAM</t>
  </si>
  <si>
    <t>27-10-2025</t>
  </si>
  <si>
    <t>CAD Engineer</t>
  </si>
  <si>
    <t>50100818980083</t>
  </si>
  <si>
    <t>28408</t>
  </si>
  <si>
    <t>BNCPY1983Q</t>
  </si>
  <si>
    <t>New Joiners In Nov-25</t>
  </si>
  <si>
    <t>FS586</t>
  </si>
  <si>
    <t>Raju Sharma</t>
  </si>
  <si>
    <t>Vice President - Business Development &amp; GCC Markets</t>
  </si>
  <si>
    <t>5010 0006 6935 33</t>
  </si>
  <si>
    <t>403617</t>
  </si>
  <si>
    <t>BBJPS0906A</t>
  </si>
  <si>
    <t>FS587</t>
  </si>
  <si>
    <t>Janaswami Bhargav Ram</t>
  </si>
  <si>
    <t>29-10-2025</t>
  </si>
  <si>
    <t>28</t>
  </si>
  <si>
    <t>Manager - Product Engineering</t>
  </si>
  <si>
    <t>50100016458501</t>
  </si>
  <si>
    <t>238625</t>
  </si>
  <si>
    <t>ASKPJ8978J</t>
  </si>
  <si>
    <t>FS588</t>
  </si>
  <si>
    <t>KESANASETTY RAVITEJA</t>
  </si>
  <si>
    <t>03-11-2025</t>
  </si>
  <si>
    <t>23</t>
  </si>
  <si>
    <t>50100315962501</t>
  </si>
  <si>
    <t>159867</t>
  </si>
  <si>
    <t>DLFPK8562N</t>
  </si>
  <si>
    <t>FS589</t>
  </si>
  <si>
    <t>Chinnala Sandeep Kumar</t>
  </si>
  <si>
    <t>05-11-2025</t>
  </si>
  <si>
    <t>21</t>
  </si>
  <si>
    <t>50100452664456</t>
  </si>
  <si>
    <t>140008</t>
  </si>
  <si>
    <t>DWWPK5778J</t>
  </si>
  <si>
    <t>FS590</t>
  </si>
  <si>
    <t>NARMADA DHARMAPURI</t>
  </si>
  <si>
    <t>14-11-2025</t>
  </si>
  <si>
    <t>12</t>
  </si>
  <si>
    <t>00751130015405</t>
  </si>
  <si>
    <t>168980</t>
  </si>
  <si>
    <t>BOXPD4106G</t>
  </si>
  <si>
    <t>FS591</t>
  </si>
  <si>
    <t>Chaitanya Ingle</t>
  </si>
  <si>
    <t>17-11-2025</t>
  </si>
  <si>
    <t>9</t>
  </si>
  <si>
    <t>Director - Delivery &amp; Growth</t>
  </si>
  <si>
    <t>50100200835818</t>
  </si>
  <si>
    <t>314506</t>
  </si>
  <si>
    <t>AAVPI1269A</t>
  </si>
  <si>
    <t>FS592</t>
  </si>
  <si>
    <t>Malay Srivastava</t>
  </si>
  <si>
    <t>24-11-2025</t>
  </si>
  <si>
    <t>2</t>
  </si>
  <si>
    <t>50100548666217</t>
  </si>
  <si>
    <t>IWVPS2920C</t>
  </si>
  <si>
    <t>Row Labels</t>
  </si>
  <si>
    <t xml:space="preserve">Sum of Basic </t>
  </si>
  <si>
    <t xml:space="preserve">Sum of Food Coupon </t>
  </si>
  <si>
    <t xml:space="preserve">Sum of Basic Arrears </t>
  </si>
  <si>
    <t xml:space="preserve">Sum of HRA </t>
  </si>
  <si>
    <t xml:space="preserve">Sum of HRA Arrears </t>
  </si>
  <si>
    <t xml:space="preserve">Sum of Statutory Bonus </t>
  </si>
  <si>
    <t>Sum of OTHERS</t>
  </si>
  <si>
    <t xml:space="preserve">Sum of Statutory Bonus Arrears </t>
  </si>
  <si>
    <t xml:space="preserve">Sum of Special Allowances </t>
  </si>
  <si>
    <t xml:space="preserve">Sum of Special Allowances Arrears </t>
  </si>
  <si>
    <t xml:space="preserve">Sum of LTA </t>
  </si>
  <si>
    <t xml:space="preserve">Sum of LTA Arrears </t>
  </si>
  <si>
    <t xml:space="preserve">Sum of Food Coupon Arrears </t>
  </si>
  <si>
    <t xml:space="preserve">Sum of Other Allowance </t>
  </si>
  <si>
    <t xml:space="preserve">Sum of Other Allowance Arrears </t>
  </si>
  <si>
    <t>Sum of BONUS</t>
  </si>
  <si>
    <t>Sum of INCENTIVE</t>
  </si>
  <si>
    <t>Sum of ARREARS</t>
  </si>
  <si>
    <t>Sum of VARIABLE PAY</t>
  </si>
  <si>
    <t>Sum of SHIFT ALLOWANCE</t>
  </si>
  <si>
    <t>Sum of VARIABLE PERFORMANCE PAY</t>
  </si>
  <si>
    <t>Sum of TDS</t>
  </si>
  <si>
    <t>Sum of Professional Tax</t>
  </si>
  <si>
    <t>Sum of Provident Fund</t>
  </si>
  <si>
    <t>Sum of Provident Fund Arrears</t>
  </si>
  <si>
    <t xml:space="preserve">Sum of OTHER RECOVERIES </t>
  </si>
  <si>
    <t xml:space="preserve">Sum of Mediclaim Insurance Recovery </t>
  </si>
  <si>
    <t>(blank)</t>
  </si>
  <si>
    <t>Grand Total</t>
  </si>
  <si>
    <t>For The Purpose Of Accounting</t>
  </si>
  <si>
    <t>Cost Centre As Per Books</t>
  </si>
  <si>
    <t>Direct/Indirect</t>
  </si>
  <si>
    <t>Salaries</t>
  </si>
  <si>
    <t>Bonus</t>
  </si>
  <si>
    <t>Food Coupon</t>
  </si>
  <si>
    <t>Food Coupon deduction</t>
  </si>
  <si>
    <t>Admin Charges</t>
  </si>
  <si>
    <t>Info</t>
  </si>
  <si>
    <t>PF Total</t>
  </si>
  <si>
    <t>Facilities</t>
  </si>
  <si>
    <t>Indirect</t>
  </si>
  <si>
    <t>AL/MI Delivery</t>
  </si>
  <si>
    <t>Direct</t>
  </si>
  <si>
    <t>Cloud Solutions</t>
  </si>
  <si>
    <t>Data Engeering</t>
  </si>
  <si>
    <t>IT Hyderabad</t>
  </si>
  <si>
    <t>Eknazar</t>
  </si>
  <si>
    <t>Talent Acquisation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</si>
</sst>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3" fontId="0" fillId="0" borderId="0" xfId="0" applyNumberFormat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0C615E-C900-4677-A0A7-F8F0EA638F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mplybizindia1.sharepoint.com/sites/SimplyBizCollectionSite/simplyfact/Shared%20Documents/Feuji/F.Y%202025-26/7.Oct-25/JV%20Final%20Pay%20Register-Oct25.xlsx" TargetMode="External"/><Relationship Id="rId1" Type="http://schemas.openxmlformats.org/officeDocument/2006/relationships/externalLinkPath" Target="/sites/SimplyBizCollectionSite/simplyfact/Shared%20Documents/Feuji/F.Y%202025-26/7.Oct-25/JV%20Final%20Pay%20Register-Oc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"/>
      <sheetName val="Sheet1"/>
      <sheetName val="JV"/>
    </sheetNames>
    <sheetDataSet>
      <sheetData sheetId="0">
        <row r="2">
          <cell r="A2" t="str">
            <v>FS005</v>
          </cell>
          <cell r="B2" t="str">
            <v>Hari Priya Ulli</v>
          </cell>
          <cell r="C2" t="str">
            <v>Talent Acquisition</v>
          </cell>
          <cell r="D2" t="str">
            <v>16-06-2014</v>
          </cell>
          <cell r="E2" t="str">
            <v>N.A</v>
          </cell>
          <cell r="F2" t="str">
            <v>2025-10</v>
          </cell>
          <cell r="G2" t="str">
            <v>Success</v>
          </cell>
          <cell r="H2" t="str">
            <v>N.A</v>
          </cell>
          <cell r="I2" t="str">
            <v/>
          </cell>
          <cell r="J2" t="str">
            <v>30</v>
          </cell>
          <cell r="K2" t="str">
            <v>0</v>
          </cell>
          <cell r="L2" t="str">
            <v>0</v>
          </cell>
          <cell r="M2" t="str">
            <v>N.A</v>
          </cell>
          <cell r="N2" t="str">
            <v>0</v>
          </cell>
          <cell r="O2" t="str">
            <v>0</v>
          </cell>
          <cell r="P2" t="str">
            <v>30</v>
          </cell>
          <cell r="Q2" t="str">
            <v>30</v>
          </cell>
          <cell r="R2" t="str">
            <v>Manager - Talent Acquisition</v>
          </cell>
          <cell r="S2" t="str">
            <v>Recruitment-IN</v>
          </cell>
          <cell r="T2" t="str">
            <v>Hyderabad</v>
          </cell>
          <cell r="U2" t="str">
            <v xml:space="preserve">Telangana </v>
          </cell>
          <cell r="V2" t="str">
            <v>20186864118</v>
          </cell>
          <cell r="W2" t="str">
            <v>STATE BANK OF INDIA</v>
          </cell>
          <cell r="X2" t="str">
            <v>143818</v>
          </cell>
          <cell r="Y2" t="str">
            <v>ACPPU4815L</v>
          </cell>
          <cell r="Z2" t="str">
            <v>60428</v>
          </cell>
          <cell r="AA2">
            <v>60428</v>
          </cell>
          <cell r="AB2">
            <v>0</v>
          </cell>
          <cell r="AC2">
            <v>24171</v>
          </cell>
          <cell r="AD2">
            <v>24171</v>
          </cell>
          <cell r="AE2">
            <v>0</v>
          </cell>
          <cell r="AF2">
            <v>6647</v>
          </cell>
          <cell r="AG2">
            <v>6647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10000</v>
          </cell>
          <cell r="AM2">
            <v>10000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42572</v>
          </cell>
          <cell r="AS2">
            <v>42572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 t="str">
            <v>0</v>
          </cell>
          <cell r="BF2">
            <v>0</v>
          </cell>
          <cell r="BG2" t="str">
            <v>0</v>
          </cell>
          <cell r="BH2">
            <v>143818</v>
          </cell>
          <cell r="BI2">
            <v>143818</v>
          </cell>
          <cell r="BJ2">
            <v>0</v>
          </cell>
          <cell r="BK2">
            <v>0</v>
          </cell>
          <cell r="BL2">
            <v>11732</v>
          </cell>
          <cell r="BM2">
            <v>200</v>
          </cell>
          <cell r="BN2">
            <v>0</v>
          </cell>
          <cell r="BO2">
            <v>0</v>
          </cell>
          <cell r="BP2">
            <v>7251</v>
          </cell>
          <cell r="BQ2">
            <v>0</v>
          </cell>
          <cell r="BR2">
            <v>7251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 t="str">
            <v>0</v>
          </cell>
          <cell r="BZ2" t="str">
            <v>0</v>
          </cell>
          <cell r="CA2" t="str">
            <v>0</v>
          </cell>
          <cell r="CB2" t="str">
            <v>0</v>
          </cell>
          <cell r="CC2" t="str">
            <v>0</v>
          </cell>
          <cell r="CD2" t="str">
            <v>0</v>
          </cell>
          <cell r="CE2" t="str">
            <v>0</v>
          </cell>
          <cell r="CF2" t="str">
            <v>0</v>
          </cell>
          <cell r="CG2" t="str">
            <v>0</v>
          </cell>
          <cell r="CH2" t="str">
            <v>0</v>
          </cell>
          <cell r="CI2" t="str">
            <v>0</v>
          </cell>
          <cell r="CJ2" t="str">
            <v>0</v>
          </cell>
          <cell r="CK2" t="str">
            <v>0</v>
          </cell>
          <cell r="CL2" t="str">
            <v>0</v>
          </cell>
          <cell r="CM2" t="str">
            <v>0</v>
          </cell>
          <cell r="CN2" t="str">
            <v>0</v>
          </cell>
          <cell r="CO2" t="str">
            <v>0</v>
          </cell>
          <cell r="CP2" t="str">
            <v>0</v>
          </cell>
          <cell r="CQ2" t="str">
            <v>0</v>
          </cell>
          <cell r="CR2" t="str">
            <v>0</v>
          </cell>
          <cell r="CS2" t="str">
            <v>0</v>
          </cell>
          <cell r="CT2" t="str">
            <v>0</v>
          </cell>
          <cell r="CU2" t="str">
            <v>0</v>
          </cell>
          <cell r="CV2" t="str">
            <v>0</v>
          </cell>
          <cell r="CW2" t="str">
            <v>0</v>
          </cell>
          <cell r="CX2" t="str">
            <v>0</v>
          </cell>
          <cell r="CY2">
            <v>19183</v>
          </cell>
          <cell r="CZ2">
            <v>124635</v>
          </cell>
          <cell r="DA2">
            <v>0</v>
          </cell>
          <cell r="DB2">
            <v>0</v>
          </cell>
          <cell r="DC2">
            <v>124635</v>
          </cell>
        </row>
        <row r="3">
          <cell r="A3" t="str">
            <v>FS049</v>
          </cell>
          <cell r="B3" t="str">
            <v xml:space="preserve">Vikas Chamakura </v>
          </cell>
          <cell r="C3" t="str">
            <v>HR</v>
          </cell>
          <cell r="D3" t="str">
            <v>09-02-2017</v>
          </cell>
          <cell r="E3" t="str">
            <v>N.A</v>
          </cell>
          <cell r="F3" t="str">
            <v>2025-10</v>
          </cell>
          <cell r="G3" t="str">
            <v>Success</v>
          </cell>
          <cell r="H3" t="str">
            <v>N.A</v>
          </cell>
          <cell r="I3" t="str">
            <v/>
          </cell>
          <cell r="J3" t="str">
            <v>30</v>
          </cell>
          <cell r="K3" t="str">
            <v>0</v>
          </cell>
          <cell r="L3" t="str">
            <v>0</v>
          </cell>
          <cell r="M3" t="str">
            <v>N.A</v>
          </cell>
          <cell r="N3" t="str">
            <v>0</v>
          </cell>
          <cell r="O3" t="str">
            <v>0</v>
          </cell>
          <cell r="P3" t="str">
            <v>30</v>
          </cell>
          <cell r="Q3" t="str">
            <v>30</v>
          </cell>
          <cell r="R3" t="str">
            <v>HR Manager</v>
          </cell>
          <cell r="S3" t="str">
            <v>Human Resources</v>
          </cell>
          <cell r="T3" t="str">
            <v>Hyderabad</v>
          </cell>
          <cell r="U3" t="str">
            <v xml:space="preserve">Telangana </v>
          </cell>
          <cell r="V3" t="str">
            <v>50100570370888</v>
          </cell>
          <cell r="W3" t="str">
            <v>HDFC BANK</v>
          </cell>
          <cell r="X3" t="str">
            <v>126924</v>
          </cell>
          <cell r="Y3" t="str">
            <v>BLVPC2214F</v>
          </cell>
          <cell r="Z3" t="str">
            <v>53329</v>
          </cell>
          <cell r="AA3">
            <v>53329</v>
          </cell>
          <cell r="AB3">
            <v>0</v>
          </cell>
          <cell r="AC3">
            <v>21332</v>
          </cell>
          <cell r="AD3">
            <v>21332</v>
          </cell>
          <cell r="AE3">
            <v>0</v>
          </cell>
          <cell r="AF3">
            <v>5866</v>
          </cell>
          <cell r="AG3">
            <v>5866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10000</v>
          </cell>
          <cell r="AM3">
            <v>10000</v>
          </cell>
          <cell r="AN3">
            <v>0</v>
          </cell>
          <cell r="AO3">
            <v>2200</v>
          </cell>
          <cell r="AP3">
            <v>2200</v>
          </cell>
          <cell r="AQ3">
            <v>0</v>
          </cell>
          <cell r="AR3">
            <v>34197</v>
          </cell>
          <cell r="AS3">
            <v>34197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 t="str">
            <v>0</v>
          </cell>
          <cell r="BF3">
            <v>0</v>
          </cell>
          <cell r="BG3" t="str">
            <v>0</v>
          </cell>
          <cell r="BH3">
            <v>126924</v>
          </cell>
          <cell r="BI3">
            <v>126924</v>
          </cell>
          <cell r="BJ3">
            <v>2200</v>
          </cell>
          <cell r="BK3">
            <v>0</v>
          </cell>
          <cell r="BL3">
            <v>8425</v>
          </cell>
          <cell r="BM3">
            <v>200</v>
          </cell>
          <cell r="BN3">
            <v>0</v>
          </cell>
          <cell r="BO3">
            <v>0</v>
          </cell>
          <cell r="BP3">
            <v>6399</v>
          </cell>
          <cell r="BQ3">
            <v>0</v>
          </cell>
          <cell r="BR3">
            <v>6399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 t="str">
            <v>0</v>
          </cell>
          <cell r="BZ3" t="str">
            <v>0</v>
          </cell>
          <cell r="CA3" t="str">
            <v>0</v>
          </cell>
          <cell r="CB3" t="str">
            <v>0</v>
          </cell>
          <cell r="CC3" t="str">
            <v>0</v>
          </cell>
          <cell r="CD3" t="str">
            <v>0</v>
          </cell>
          <cell r="CE3" t="str">
            <v>0</v>
          </cell>
          <cell r="CF3" t="str">
            <v>0</v>
          </cell>
          <cell r="CG3" t="str">
            <v>0</v>
          </cell>
          <cell r="CH3" t="str">
            <v>0</v>
          </cell>
          <cell r="CI3" t="str">
            <v>0</v>
          </cell>
          <cell r="CJ3" t="str">
            <v>0</v>
          </cell>
          <cell r="CK3" t="str">
            <v>0</v>
          </cell>
          <cell r="CL3" t="str">
            <v>0</v>
          </cell>
          <cell r="CM3" t="str">
            <v>0</v>
          </cell>
          <cell r="CN3" t="str">
            <v>0</v>
          </cell>
          <cell r="CO3" t="str">
            <v>0</v>
          </cell>
          <cell r="CP3" t="str">
            <v>0</v>
          </cell>
          <cell r="CQ3" t="str">
            <v>0</v>
          </cell>
          <cell r="CR3" t="str">
            <v>0</v>
          </cell>
          <cell r="CS3" t="str">
            <v>0</v>
          </cell>
          <cell r="CT3" t="str">
            <v>0</v>
          </cell>
          <cell r="CU3" t="str">
            <v>0</v>
          </cell>
          <cell r="CV3" t="str">
            <v>0</v>
          </cell>
          <cell r="CW3" t="str">
            <v>0</v>
          </cell>
          <cell r="CX3" t="str">
            <v>0</v>
          </cell>
          <cell r="CY3">
            <v>17224</v>
          </cell>
          <cell r="CZ3">
            <v>109700</v>
          </cell>
          <cell r="DA3">
            <v>0</v>
          </cell>
          <cell r="DB3">
            <v>0</v>
          </cell>
          <cell r="DC3">
            <v>109700</v>
          </cell>
        </row>
        <row r="4">
          <cell r="A4" t="str">
            <v>FS104</v>
          </cell>
          <cell r="B4" t="str">
            <v xml:space="preserve">Parvathalu Dayyala </v>
          </cell>
          <cell r="C4" t="str">
            <v>Admin</v>
          </cell>
          <cell r="D4" t="str">
            <v>01-12-2018</v>
          </cell>
          <cell r="E4" t="str">
            <v>N.A</v>
          </cell>
          <cell r="F4" t="str">
            <v>2025-10</v>
          </cell>
          <cell r="G4" t="str">
            <v>Success</v>
          </cell>
          <cell r="H4" t="str">
            <v>N.A</v>
          </cell>
          <cell r="I4" t="str">
            <v/>
          </cell>
          <cell r="J4" t="str">
            <v>30</v>
          </cell>
          <cell r="K4" t="str">
            <v>0</v>
          </cell>
          <cell r="L4" t="str">
            <v>0</v>
          </cell>
          <cell r="M4" t="str">
            <v>N.A</v>
          </cell>
          <cell r="N4" t="str">
            <v>0</v>
          </cell>
          <cell r="O4" t="str">
            <v>0</v>
          </cell>
          <cell r="P4" t="str">
            <v>30</v>
          </cell>
          <cell r="Q4" t="str">
            <v>30</v>
          </cell>
          <cell r="R4" t="str">
            <v>Office Assistant/Security</v>
          </cell>
          <cell r="S4" t="str">
            <v>Office Operation-IN</v>
          </cell>
          <cell r="T4" t="str">
            <v>Hyderabad</v>
          </cell>
          <cell r="U4" t="str">
            <v xml:space="preserve">Telangana </v>
          </cell>
          <cell r="V4" t="str">
            <v>50100568112416</v>
          </cell>
          <cell r="W4" t="str">
            <v>HDFC BANK</v>
          </cell>
          <cell r="X4" t="str">
            <v>37800</v>
          </cell>
          <cell r="Y4" t="str">
            <v>EXCPP1470G</v>
          </cell>
          <cell r="Z4" t="str">
            <v>15840</v>
          </cell>
          <cell r="AA4">
            <v>15840</v>
          </cell>
          <cell r="AB4">
            <v>0</v>
          </cell>
          <cell r="AC4">
            <v>6336</v>
          </cell>
          <cell r="AD4">
            <v>6336</v>
          </cell>
          <cell r="AE4">
            <v>0</v>
          </cell>
          <cell r="AF4">
            <v>1742</v>
          </cell>
          <cell r="AG4">
            <v>1742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3960</v>
          </cell>
          <cell r="AM4">
            <v>3960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9922</v>
          </cell>
          <cell r="AS4">
            <v>9922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 t="str">
            <v>0</v>
          </cell>
          <cell r="BF4">
            <v>0</v>
          </cell>
          <cell r="BG4" t="str">
            <v>0</v>
          </cell>
          <cell r="BH4">
            <v>37800</v>
          </cell>
          <cell r="BI4">
            <v>37800</v>
          </cell>
          <cell r="BJ4">
            <v>0</v>
          </cell>
          <cell r="BK4">
            <v>0</v>
          </cell>
          <cell r="BL4">
            <v>0</v>
          </cell>
          <cell r="BM4">
            <v>200</v>
          </cell>
          <cell r="BN4">
            <v>0</v>
          </cell>
          <cell r="BO4">
            <v>0</v>
          </cell>
          <cell r="BP4">
            <v>1800</v>
          </cell>
          <cell r="BQ4">
            <v>0</v>
          </cell>
          <cell r="BR4">
            <v>1800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 t="str">
            <v>0</v>
          </cell>
          <cell r="BZ4" t="str">
            <v>0</v>
          </cell>
          <cell r="CA4" t="str">
            <v>0</v>
          </cell>
          <cell r="CB4" t="str">
            <v>0</v>
          </cell>
          <cell r="CC4" t="str">
            <v>0</v>
          </cell>
          <cell r="CD4" t="str">
            <v>0</v>
          </cell>
          <cell r="CE4" t="str">
            <v>0</v>
          </cell>
          <cell r="CF4" t="str">
            <v>0</v>
          </cell>
          <cell r="CG4" t="str">
            <v>0</v>
          </cell>
          <cell r="CH4" t="str">
            <v>0</v>
          </cell>
          <cell r="CI4" t="str">
            <v>0</v>
          </cell>
          <cell r="CJ4" t="str">
            <v>0</v>
          </cell>
          <cell r="CK4" t="str">
            <v>0</v>
          </cell>
          <cell r="CL4" t="str">
            <v>0</v>
          </cell>
          <cell r="CM4" t="str">
            <v>0</v>
          </cell>
          <cell r="CN4" t="str">
            <v>0</v>
          </cell>
          <cell r="CO4" t="str">
            <v>0</v>
          </cell>
          <cell r="CP4" t="str">
            <v>0</v>
          </cell>
          <cell r="CQ4" t="str">
            <v>0</v>
          </cell>
          <cell r="CR4" t="str">
            <v>0</v>
          </cell>
          <cell r="CS4" t="str">
            <v>0</v>
          </cell>
          <cell r="CT4" t="str">
            <v>0</v>
          </cell>
          <cell r="CU4" t="str">
            <v>0</v>
          </cell>
          <cell r="CV4" t="str">
            <v>0</v>
          </cell>
          <cell r="CW4" t="str">
            <v>0</v>
          </cell>
          <cell r="CX4" t="str">
            <v>0</v>
          </cell>
          <cell r="CY4">
            <v>2000</v>
          </cell>
          <cell r="CZ4">
            <v>35800</v>
          </cell>
          <cell r="DA4">
            <v>0</v>
          </cell>
          <cell r="DB4">
            <v>0</v>
          </cell>
          <cell r="DC4">
            <v>35800</v>
          </cell>
        </row>
        <row r="5">
          <cell r="A5" t="str">
            <v>FS128</v>
          </cell>
          <cell r="B5" t="str">
            <v xml:space="preserve">Manohar Reddy Mayaluri </v>
          </cell>
          <cell r="C5" t="str">
            <v>Executive Management</v>
          </cell>
          <cell r="D5" t="str">
            <v>26-10-2020</v>
          </cell>
          <cell r="E5" t="str">
            <v>N.A</v>
          </cell>
          <cell r="F5" t="str">
            <v>2025-10</v>
          </cell>
          <cell r="G5" t="str">
            <v>Success</v>
          </cell>
          <cell r="H5" t="str">
            <v>N.A</v>
          </cell>
          <cell r="I5" t="str">
            <v/>
          </cell>
          <cell r="J5" t="str">
            <v>30</v>
          </cell>
          <cell r="K5" t="str">
            <v>0</v>
          </cell>
          <cell r="L5" t="str">
            <v>0</v>
          </cell>
          <cell r="M5" t="str">
            <v>N.A</v>
          </cell>
          <cell r="N5" t="str">
            <v>0</v>
          </cell>
          <cell r="O5" t="str">
            <v>0</v>
          </cell>
          <cell r="P5" t="str">
            <v>30</v>
          </cell>
          <cell r="Q5" t="str">
            <v>30</v>
          </cell>
          <cell r="R5" t="str">
            <v>CEO</v>
          </cell>
          <cell r="S5" t="str">
            <v>Executive</v>
          </cell>
          <cell r="T5" t="str">
            <v>Hyderabad</v>
          </cell>
          <cell r="U5" t="str">
            <v xml:space="preserve">Telangana </v>
          </cell>
          <cell r="V5" t="str">
            <v>99909652211000</v>
          </cell>
          <cell r="W5" t="str">
            <v>HDFC BANK</v>
          </cell>
          <cell r="X5" t="str">
            <v>793333</v>
          </cell>
          <cell r="Y5" t="str">
            <v>AZKPM9408R</v>
          </cell>
          <cell r="Z5" t="str">
            <v>333333</v>
          </cell>
          <cell r="AA5">
            <v>333333</v>
          </cell>
          <cell r="AB5">
            <v>0</v>
          </cell>
          <cell r="AC5">
            <v>133333</v>
          </cell>
          <cell r="AD5">
            <v>133333</v>
          </cell>
          <cell r="AE5">
            <v>0</v>
          </cell>
          <cell r="AF5">
            <v>36667</v>
          </cell>
          <cell r="AG5">
            <v>36667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10000</v>
          </cell>
          <cell r="AM5">
            <v>10000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280000</v>
          </cell>
          <cell r="AS5">
            <v>280000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 t="str">
            <v>0</v>
          </cell>
          <cell r="BF5">
            <v>0</v>
          </cell>
          <cell r="BG5" t="str">
            <v>0</v>
          </cell>
          <cell r="BH5">
            <v>793333</v>
          </cell>
          <cell r="BI5">
            <v>793333</v>
          </cell>
          <cell r="BJ5">
            <v>0</v>
          </cell>
          <cell r="BK5">
            <v>0</v>
          </cell>
          <cell r="BL5">
            <v>230087</v>
          </cell>
          <cell r="BM5">
            <v>200</v>
          </cell>
          <cell r="BN5">
            <v>0</v>
          </cell>
          <cell r="BO5">
            <v>0</v>
          </cell>
          <cell r="BP5">
            <v>40000</v>
          </cell>
          <cell r="BQ5">
            <v>0</v>
          </cell>
          <cell r="BR5">
            <v>40000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 t="str">
            <v>0</v>
          </cell>
          <cell r="BZ5" t="str">
            <v>0</v>
          </cell>
          <cell r="CA5" t="str">
            <v>0</v>
          </cell>
          <cell r="CB5" t="str">
            <v>0</v>
          </cell>
          <cell r="CC5" t="str">
            <v>0</v>
          </cell>
          <cell r="CD5" t="str">
            <v>0</v>
          </cell>
          <cell r="CE5" t="str">
            <v>0</v>
          </cell>
          <cell r="CF5" t="str">
            <v>0</v>
          </cell>
          <cell r="CG5" t="str">
            <v>0</v>
          </cell>
          <cell r="CH5" t="str">
            <v>0</v>
          </cell>
          <cell r="CI5" t="str">
            <v>0</v>
          </cell>
          <cell r="CJ5" t="str">
            <v>0</v>
          </cell>
          <cell r="CK5" t="str">
            <v>0</v>
          </cell>
          <cell r="CL5" t="str">
            <v>0</v>
          </cell>
          <cell r="CM5" t="str">
            <v>0</v>
          </cell>
          <cell r="CN5" t="str">
            <v>0</v>
          </cell>
          <cell r="CO5" t="str">
            <v>0</v>
          </cell>
          <cell r="CP5" t="str">
            <v>0</v>
          </cell>
          <cell r="CQ5" t="str">
            <v>0</v>
          </cell>
          <cell r="CR5" t="str">
            <v>0</v>
          </cell>
          <cell r="CS5" t="str">
            <v>0</v>
          </cell>
          <cell r="CT5" t="str">
            <v>0</v>
          </cell>
          <cell r="CU5" t="str">
            <v>0</v>
          </cell>
          <cell r="CV5" t="str">
            <v>0</v>
          </cell>
          <cell r="CW5" t="str">
            <v>0</v>
          </cell>
          <cell r="CX5" t="str">
            <v>0</v>
          </cell>
          <cell r="CY5">
            <v>270287</v>
          </cell>
          <cell r="CZ5">
            <v>523046</v>
          </cell>
          <cell r="DA5">
            <v>0</v>
          </cell>
          <cell r="DB5">
            <v>0</v>
          </cell>
          <cell r="DC5">
            <v>523046</v>
          </cell>
        </row>
        <row r="6">
          <cell r="A6" t="str">
            <v>FS136</v>
          </cell>
          <cell r="B6" t="str">
            <v xml:space="preserve">Krishna Kishore Battula </v>
          </cell>
          <cell r="C6" t="str">
            <v>Quality Engineering</v>
          </cell>
          <cell r="D6" t="str">
            <v>31-08-2020</v>
          </cell>
          <cell r="E6" t="str">
            <v>N.A</v>
          </cell>
          <cell r="F6" t="str">
            <v>2025-10</v>
          </cell>
          <cell r="G6" t="str">
            <v>Success</v>
          </cell>
          <cell r="H6" t="str">
            <v>N.A</v>
          </cell>
          <cell r="I6" t="str">
            <v/>
          </cell>
          <cell r="J6" t="str">
            <v>30</v>
          </cell>
          <cell r="K6" t="str">
            <v>0</v>
          </cell>
          <cell r="L6" t="str">
            <v>0</v>
          </cell>
          <cell r="M6" t="str">
            <v>N.A</v>
          </cell>
          <cell r="N6" t="str">
            <v>0</v>
          </cell>
          <cell r="O6" t="str">
            <v>0</v>
          </cell>
          <cell r="P6" t="str">
            <v>30</v>
          </cell>
          <cell r="Q6" t="str">
            <v>30</v>
          </cell>
          <cell r="R6" t="str">
            <v>Director/ Lead Architect- QA</v>
          </cell>
          <cell r="S6" t="str">
            <v>Quality Engineering Practice</v>
          </cell>
          <cell r="T6" t="str">
            <v>Hyderabad</v>
          </cell>
          <cell r="U6" t="str">
            <v xml:space="preserve">Telangana </v>
          </cell>
          <cell r="V6" t="str">
            <v>50100008645661</v>
          </cell>
          <cell r="W6" t="str">
            <v>HDFC BANK</v>
          </cell>
          <cell r="X6" t="str">
            <v>342205</v>
          </cell>
          <cell r="Y6" t="str">
            <v>AZRPB9400F</v>
          </cell>
          <cell r="Z6" t="str">
            <v>137602</v>
          </cell>
          <cell r="AA6">
            <v>137602</v>
          </cell>
          <cell r="AB6">
            <v>0</v>
          </cell>
          <cell r="AC6">
            <v>55041</v>
          </cell>
          <cell r="AD6">
            <v>55041</v>
          </cell>
          <cell r="AE6">
            <v>0</v>
          </cell>
          <cell r="AF6">
            <v>15136</v>
          </cell>
          <cell r="AG6">
            <v>15136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10000</v>
          </cell>
          <cell r="AM6">
            <v>10000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124426</v>
          </cell>
          <cell r="AS6">
            <v>124426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 t="str">
            <v>0</v>
          </cell>
          <cell r="BF6">
            <v>0</v>
          </cell>
          <cell r="BG6" t="str">
            <v>0</v>
          </cell>
          <cell r="BH6">
            <v>342205</v>
          </cell>
          <cell r="BI6">
            <v>342205</v>
          </cell>
          <cell r="BJ6">
            <v>0</v>
          </cell>
          <cell r="BK6">
            <v>0</v>
          </cell>
          <cell r="BL6">
            <v>68418</v>
          </cell>
          <cell r="BM6">
            <v>200</v>
          </cell>
          <cell r="BN6">
            <v>0</v>
          </cell>
          <cell r="BO6">
            <v>0</v>
          </cell>
          <cell r="BP6">
            <v>1800</v>
          </cell>
          <cell r="BQ6">
            <v>0</v>
          </cell>
          <cell r="BR6">
            <v>1800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>
            <v>70418</v>
          </cell>
          <cell r="CZ6">
            <v>271787</v>
          </cell>
          <cell r="DA6">
            <v>0</v>
          </cell>
          <cell r="DB6">
            <v>0</v>
          </cell>
          <cell r="DC6">
            <v>271787</v>
          </cell>
        </row>
        <row r="7">
          <cell r="A7" t="str">
            <v>FS141</v>
          </cell>
          <cell r="B7" t="str">
            <v xml:space="preserve">Srinivas Yegireddy </v>
          </cell>
          <cell r="C7" t="str">
            <v>Quality Engineering</v>
          </cell>
          <cell r="D7" t="str">
            <v>16-11-2020</v>
          </cell>
          <cell r="E7" t="str">
            <v>N.A</v>
          </cell>
          <cell r="F7" t="str">
            <v>2025-10</v>
          </cell>
          <cell r="G7" t="str">
            <v>Success</v>
          </cell>
          <cell r="H7" t="str">
            <v>N.A</v>
          </cell>
          <cell r="I7" t="str">
            <v/>
          </cell>
          <cell r="J7" t="str">
            <v>30</v>
          </cell>
          <cell r="K7" t="str">
            <v>0</v>
          </cell>
          <cell r="L7" t="str">
            <v>0</v>
          </cell>
          <cell r="M7" t="str">
            <v>N.A</v>
          </cell>
          <cell r="N7" t="str">
            <v>0</v>
          </cell>
          <cell r="O7" t="str">
            <v>0</v>
          </cell>
          <cell r="P7" t="str">
            <v>30</v>
          </cell>
          <cell r="Q7" t="str">
            <v>30</v>
          </cell>
          <cell r="R7" t="str">
            <v xml:space="preserve">Senior Manager Quality </v>
          </cell>
          <cell r="S7" t="str">
            <v>Delivery-IN</v>
          </cell>
          <cell r="T7" t="str">
            <v>Hyderabad</v>
          </cell>
          <cell r="U7" t="str">
            <v xml:space="preserve">Telangana </v>
          </cell>
          <cell r="V7" t="str">
            <v>20056357796</v>
          </cell>
          <cell r="W7" t="str">
            <v>STATE BANK OF INDIA</v>
          </cell>
          <cell r="X7" t="str">
            <v>219032</v>
          </cell>
          <cell r="Y7" t="str">
            <v>ABBPY2005K</v>
          </cell>
          <cell r="Z7" t="str">
            <v>92030</v>
          </cell>
          <cell r="AA7">
            <v>92030</v>
          </cell>
          <cell r="AB7">
            <v>0</v>
          </cell>
          <cell r="AC7">
            <v>36812</v>
          </cell>
          <cell r="AD7">
            <v>36812</v>
          </cell>
          <cell r="AE7">
            <v>0</v>
          </cell>
          <cell r="AF7">
            <v>10123</v>
          </cell>
          <cell r="AG7">
            <v>10123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10000</v>
          </cell>
          <cell r="AM7">
            <v>10000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70067</v>
          </cell>
          <cell r="AS7">
            <v>70067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 t="str">
            <v>0</v>
          </cell>
          <cell r="BF7">
            <v>0</v>
          </cell>
          <cell r="BG7" t="str">
            <v>0</v>
          </cell>
          <cell r="BH7">
            <v>219032</v>
          </cell>
          <cell r="BI7">
            <v>219032</v>
          </cell>
          <cell r="BJ7">
            <v>0</v>
          </cell>
          <cell r="BK7">
            <v>0</v>
          </cell>
          <cell r="BL7">
            <v>29988</v>
          </cell>
          <cell r="BM7">
            <v>200</v>
          </cell>
          <cell r="BN7">
            <v>0</v>
          </cell>
          <cell r="BO7">
            <v>0</v>
          </cell>
          <cell r="BP7">
            <v>11044</v>
          </cell>
          <cell r="BQ7">
            <v>0</v>
          </cell>
          <cell r="BR7">
            <v>11044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>
            <v>41232</v>
          </cell>
          <cell r="CZ7">
            <v>177800</v>
          </cell>
          <cell r="DA7">
            <v>0</v>
          </cell>
          <cell r="DB7">
            <v>0</v>
          </cell>
          <cell r="DC7">
            <v>177800</v>
          </cell>
        </row>
        <row r="8">
          <cell r="A8" t="str">
            <v>FS143</v>
          </cell>
          <cell r="B8" t="str">
            <v xml:space="preserve">Seetha Lakshmi Polishetty </v>
          </cell>
          <cell r="C8" t="str">
            <v>Quality Engineering</v>
          </cell>
          <cell r="D8" t="str">
            <v>23-11-2020</v>
          </cell>
          <cell r="E8" t="str">
            <v>N.A</v>
          </cell>
          <cell r="F8" t="str">
            <v>2025-10</v>
          </cell>
          <cell r="G8" t="str">
            <v>Success</v>
          </cell>
          <cell r="H8" t="str">
            <v>N.A</v>
          </cell>
          <cell r="I8" t="str">
            <v/>
          </cell>
          <cell r="J8" t="str">
            <v>30</v>
          </cell>
          <cell r="K8" t="str">
            <v>0</v>
          </cell>
          <cell r="L8" t="str">
            <v>0</v>
          </cell>
          <cell r="M8" t="str">
            <v>N.A</v>
          </cell>
          <cell r="N8" t="str">
            <v>0</v>
          </cell>
          <cell r="O8" t="str">
            <v>0</v>
          </cell>
          <cell r="P8" t="str">
            <v>30</v>
          </cell>
          <cell r="Q8" t="str">
            <v>30</v>
          </cell>
          <cell r="R8" t="str">
            <v>Manager Quality Engineering</v>
          </cell>
          <cell r="S8" t="str">
            <v>Quality Engineering Practice</v>
          </cell>
          <cell r="T8" t="str">
            <v>Hyderabad</v>
          </cell>
          <cell r="U8" t="str">
            <v xml:space="preserve">Telangana </v>
          </cell>
          <cell r="V8" t="str">
            <v>05451610481509</v>
          </cell>
          <cell r="W8" t="str">
            <v>HDFC BANK</v>
          </cell>
          <cell r="X8" t="str">
            <v>130150</v>
          </cell>
          <cell r="Y8" t="str">
            <v>BABPK1724M</v>
          </cell>
          <cell r="Z8" t="str">
            <v>52780</v>
          </cell>
          <cell r="AA8">
            <v>52780</v>
          </cell>
          <cell r="AB8">
            <v>0</v>
          </cell>
          <cell r="AC8">
            <v>21112</v>
          </cell>
          <cell r="AD8">
            <v>21112</v>
          </cell>
          <cell r="AE8">
            <v>0</v>
          </cell>
          <cell r="AF8">
            <v>5806</v>
          </cell>
          <cell r="AG8">
            <v>5806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10000</v>
          </cell>
          <cell r="AM8">
            <v>10000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40452</v>
          </cell>
          <cell r="AS8">
            <v>40452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 t="str">
            <v>0</v>
          </cell>
          <cell r="BF8">
            <v>0</v>
          </cell>
          <cell r="BG8" t="str">
            <v>0</v>
          </cell>
          <cell r="BH8">
            <v>130150</v>
          </cell>
          <cell r="BI8">
            <v>130150</v>
          </cell>
          <cell r="BJ8">
            <v>0</v>
          </cell>
          <cell r="BK8">
            <v>0</v>
          </cell>
          <cell r="BL8">
            <v>8928</v>
          </cell>
          <cell r="BM8">
            <v>200</v>
          </cell>
          <cell r="BN8">
            <v>0</v>
          </cell>
          <cell r="BO8">
            <v>0</v>
          </cell>
          <cell r="BP8">
            <v>1800</v>
          </cell>
          <cell r="BQ8">
            <v>0</v>
          </cell>
          <cell r="BR8">
            <v>1800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>
            <v>10928</v>
          </cell>
          <cell r="CZ8">
            <v>119222</v>
          </cell>
          <cell r="DA8">
            <v>0</v>
          </cell>
          <cell r="DB8">
            <v>0</v>
          </cell>
          <cell r="DC8">
            <v>119222</v>
          </cell>
        </row>
        <row r="9">
          <cell r="A9" t="str">
            <v>FS156</v>
          </cell>
          <cell r="B9" t="str">
            <v xml:space="preserve">Vinod Ullaganti </v>
          </cell>
          <cell r="C9" t="str">
            <v>Product Engineering</v>
          </cell>
          <cell r="D9" t="str">
            <v>09-02-2021</v>
          </cell>
          <cell r="E9" t="str">
            <v>N.A</v>
          </cell>
          <cell r="F9" t="str">
            <v>2025-10</v>
          </cell>
          <cell r="G9" t="str">
            <v>Success</v>
          </cell>
          <cell r="H9" t="str">
            <v>N.A</v>
          </cell>
          <cell r="I9" t="str">
            <v/>
          </cell>
          <cell r="J9" t="str">
            <v>30</v>
          </cell>
          <cell r="K9" t="str">
            <v>0</v>
          </cell>
          <cell r="L9" t="str">
            <v>0</v>
          </cell>
          <cell r="M9" t="str">
            <v>N.A</v>
          </cell>
          <cell r="N9" t="str">
            <v>0</v>
          </cell>
          <cell r="O9" t="str">
            <v>0</v>
          </cell>
          <cell r="P9" t="str">
            <v>30</v>
          </cell>
          <cell r="Q9" t="str">
            <v>30</v>
          </cell>
          <cell r="R9" t="str">
            <v>Senior Technical Lead</v>
          </cell>
          <cell r="S9" t="str">
            <v>Delivery-IN</v>
          </cell>
          <cell r="T9" t="str">
            <v>Hyderabad</v>
          </cell>
          <cell r="U9" t="str">
            <v xml:space="preserve">Telangana </v>
          </cell>
          <cell r="V9" t="str">
            <v>50100568112557</v>
          </cell>
          <cell r="W9" t="str">
            <v>HDFC BANK</v>
          </cell>
          <cell r="X9" t="str">
            <v>206844</v>
          </cell>
          <cell r="Y9" t="str">
            <v>ADPPU6834N</v>
          </cell>
          <cell r="Z9" t="str">
            <v>86909</v>
          </cell>
          <cell r="AA9">
            <v>86909</v>
          </cell>
          <cell r="AB9">
            <v>0</v>
          </cell>
          <cell r="AC9">
            <v>34764</v>
          </cell>
          <cell r="AD9">
            <v>34764</v>
          </cell>
          <cell r="AE9">
            <v>0</v>
          </cell>
          <cell r="AF9">
            <v>9560</v>
          </cell>
          <cell r="AG9">
            <v>9560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10000</v>
          </cell>
          <cell r="AM9">
            <v>10000</v>
          </cell>
          <cell r="AN9">
            <v>0</v>
          </cell>
          <cell r="AO9">
            <v>2200</v>
          </cell>
          <cell r="AP9">
            <v>2200</v>
          </cell>
          <cell r="AQ9">
            <v>0</v>
          </cell>
          <cell r="AR9">
            <v>63411</v>
          </cell>
          <cell r="AS9">
            <v>63411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 t="str">
            <v>0</v>
          </cell>
          <cell r="BF9">
            <v>0</v>
          </cell>
          <cell r="BG9" t="str">
            <v>0</v>
          </cell>
          <cell r="BH9">
            <v>206844</v>
          </cell>
          <cell r="BI9">
            <v>206844</v>
          </cell>
          <cell r="BJ9">
            <v>2200</v>
          </cell>
          <cell r="BK9">
            <v>0</v>
          </cell>
          <cell r="BL9">
            <v>26185</v>
          </cell>
          <cell r="BM9">
            <v>200</v>
          </cell>
          <cell r="BN9">
            <v>0</v>
          </cell>
          <cell r="BO9">
            <v>0</v>
          </cell>
          <cell r="BP9">
            <v>10429</v>
          </cell>
          <cell r="BQ9">
            <v>0</v>
          </cell>
          <cell r="BR9">
            <v>10429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>
            <v>39014</v>
          </cell>
          <cell r="CZ9">
            <v>167830</v>
          </cell>
          <cell r="DA9">
            <v>0</v>
          </cell>
          <cell r="DB9">
            <v>0</v>
          </cell>
          <cell r="DC9">
            <v>167830</v>
          </cell>
        </row>
        <row r="10">
          <cell r="A10" t="str">
            <v>FS157</v>
          </cell>
          <cell r="B10" t="str">
            <v>Yerva Sireesha</v>
          </cell>
          <cell r="C10" t="str">
            <v>Quality Engineering</v>
          </cell>
          <cell r="D10" t="str">
            <v>15-03-2021</v>
          </cell>
          <cell r="E10" t="str">
            <v>N.A</v>
          </cell>
          <cell r="F10" t="str">
            <v>2025-10</v>
          </cell>
          <cell r="G10" t="str">
            <v>Success</v>
          </cell>
          <cell r="H10" t="str">
            <v>N.A</v>
          </cell>
          <cell r="I10" t="str">
            <v/>
          </cell>
          <cell r="J10" t="str">
            <v>30</v>
          </cell>
          <cell r="K10" t="str">
            <v>0</v>
          </cell>
          <cell r="L10" t="str">
            <v>0</v>
          </cell>
          <cell r="M10" t="str">
            <v>N.A</v>
          </cell>
          <cell r="N10" t="str">
            <v>0</v>
          </cell>
          <cell r="O10" t="str">
            <v>0</v>
          </cell>
          <cell r="P10" t="str">
            <v>30</v>
          </cell>
          <cell r="Q10" t="str">
            <v>30</v>
          </cell>
          <cell r="R10" t="str">
            <v>Lead -QA</v>
          </cell>
          <cell r="S10" t="str">
            <v>Innovation-In</v>
          </cell>
          <cell r="T10" t="str">
            <v>Hyderabad</v>
          </cell>
          <cell r="U10" t="str">
            <v xml:space="preserve">Telangana </v>
          </cell>
          <cell r="V10" t="str">
            <v>40092282965</v>
          </cell>
          <cell r="W10" t="str">
            <v>STATE BANK OF INDIA</v>
          </cell>
          <cell r="X10" t="str">
            <v>148742</v>
          </cell>
          <cell r="Y10" t="str">
            <v>AGBPY8707F</v>
          </cell>
          <cell r="Z10" t="str">
            <v>60217</v>
          </cell>
          <cell r="AA10">
            <v>60217</v>
          </cell>
          <cell r="AB10">
            <v>0</v>
          </cell>
          <cell r="AC10">
            <v>24087</v>
          </cell>
          <cell r="AD10">
            <v>24087</v>
          </cell>
          <cell r="AE10">
            <v>0</v>
          </cell>
          <cell r="AF10">
            <v>6624</v>
          </cell>
          <cell r="AG10">
            <v>6624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10000</v>
          </cell>
          <cell r="AM10">
            <v>10000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47814</v>
          </cell>
          <cell r="AS10">
            <v>47814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 t="str">
            <v>0</v>
          </cell>
          <cell r="BF10">
            <v>0</v>
          </cell>
          <cell r="BG10" t="str">
            <v>0</v>
          </cell>
          <cell r="BH10">
            <v>148742</v>
          </cell>
          <cell r="BI10">
            <v>148742</v>
          </cell>
          <cell r="BJ10">
            <v>0</v>
          </cell>
          <cell r="BK10">
            <v>0</v>
          </cell>
          <cell r="BL10">
            <v>12305</v>
          </cell>
          <cell r="BM10">
            <v>200</v>
          </cell>
          <cell r="BN10">
            <v>0</v>
          </cell>
          <cell r="BO10">
            <v>0</v>
          </cell>
          <cell r="BP10">
            <v>1800</v>
          </cell>
          <cell r="BQ10">
            <v>0</v>
          </cell>
          <cell r="BR10">
            <v>1800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>
            <v>14305</v>
          </cell>
          <cell r="CZ10">
            <v>134437</v>
          </cell>
          <cell r="DA10">
            <v>0</v>
          </cell>
          <cell r="DB10">
            <v>0</v>
          </cell>
          <cell r="DC10">
            <v>134437</v>
          </cell>
        </row>
        <row r="11">
          <cell r="A11" t="str">
            <v>FS158</v>
          </cell>
          <cell r="B11" t="str">
            <v>Penmetsa Kumar Vijay Venkata Rama Raju</v>
          </cell>
          <cell r="C11" t="str">
            <v>Quality Engineering</v>
          </cell>
          <cell r="D11" t="str">
            <v>29-03-2021</v>
          </cell>
          <cell r="E11" t="str">
            <v>N.A</v>
          </cell>
          <cell r="F11" t="str">
            <v>2025-10</v>
          </cell>
          <cell r="G11" t="str">
            <v>Success</v>
          </cell>
          <cell r="H11" t="str">
            <v>N.A</v>
          </cell>
          <cell r="I11" t="str">
            <v/>
          </cell>
          <cell r="J11" t="str">
            <v>30</v>
          </cell>
          <cell r="K11" t="str">
            <v>0</v>
          </cell>
          <cell r="L11" t="str">
            <v>0</v>
          </cell>
          <cell r="M11" t="str">
            <v>N.A</v>
          </cell>
          <cell r="N11" t="str">
            <v>0</v>
          </cell>
          <cell r="O11" t="str">
            <v>0</v>
          </cell>
          <cell r="P11" t="str">
            <v>30</v>
          </cell>
          <cell r="Q11" t="str">
            <v>30</v>
          </cell>
          <cell r="R11" t="str">
            <v>Senior Director</v>
          </cell>
          <cell r="S11" t="str">
            <v>Delivery-IN</v>
          </cell>
          <cell r="T11" t="str">
            <v>Hyderabad</v>
          </cell>
          <cell r="U11" t="str">
            <v xml:space="preserve">Telangana </v>
          </cell>
          <cell r="V11" t="str">
            <v>50100591447708</v>
          </cell>
          <cell r="W11" t="str">
            <v>HDFC BANK</v>
          </cell>
          <cell r="X11" t="str">
            <v>351464</v>
          </cell>
          <cell r="Y11" t="str">
            <v>AIJPP1671R</v>
          </cell>
          <cell r="Z11" t="str">
            <v>147674</v>
          </cell>
          <cell r="AA11">
            <v>147674</v>
          </cell>
          <cell r="AB11">
            <v>0</v>
          </cell>
          <cell r="AC11">
            <v>59070</v>
          </cell>
          <cell r="AD11">
            <v>59070</v>
          </cell>
          <cell r="AE11">
            <v>0</v>
          </cell>
          <cell r="AF11">
            <v>16244</v>
          </cell>
          <cell r="AG11">
            <v>16244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10000</v>
          </cell>
          <cell r="AM11">
            <v>10000</v>
          </cell>
          <cell r="AN11">
            <v>0</v>
          </cell>
          <cell r="AO11">
            <v>2200</v>
          </cell>
          <cell r="AP11">
            <v>2200</v>
          </cell>
          <cell r="AQ11">
            <v>0</v>
          </cell>
          <cell r="AR11">
            <v>116276</v>
          </cell>
          <cell r="AS11">
            <v>116276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 t="str">
            <v>0</v>
          </cell>
          <cell r="BF11">
            <v>0</v>
          </cell>
          <cell r="BG11" t="str">
            <v>0</v>
          </cell>
          <cell r="BH11">
            <v>351464</v>
          </cell>
          <cell r="BI11">
            <v>351464</v>
          </cell>
          <cell r="BJ11">
            <v>2200</v>
          </cell>
          <cell r="BK11">
            <v>0</v>
          </cell>
          <cell r="BL11">
            <v>71307</v>
          </cell>
          <cell r="BM11">
            <v>200</v>
          </cell>
          <cell r="BN11">
            <v>0</v>
          </cell>
          <cell r="BO11">
            <v>0</v>
          </cell>
          <cell r="BP11">
            <v>17721</v>
          </cell>
          <cell r="BQ11">
            <v>0</v>
          </cell>
          <cell r="BR11">
            <v>17721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>
            <v>91428</v>
          </cell>
          <cell r="CZ11">
            <v>260036</v>
          </cell>
          <cell r="DA11">
            <v>0</v>
          </cell>
          <cell r="DB11">
            <v>0</v>
          </cell>
          <cell r="DC11">
            <v>260036</v>
          </cell>
        </row>
        <row r="12">
          <cell r="A12" t="str">
            <v>FS160</v>
          </cell>
          <cell r="B12" t="str">
            <v xml:space="preserve">Sai Krishna Behara </v>
          </cell>
          <cell r="C12" t="str">
            <v>Quality Engineering</v>
          </cell>
          <cell r="D12" t="str">
            <v>26-04-2021</v>
          </cell>
          <cell r="E12" t="str">
            <v>30-09-2025</v>
          </cell>
          <cell r="F12" t="str">
            <v>2025-10</v>
          </cell>
          <cell r="G12" t="str">
            <v>Success</v>
          </cell>
          <cell r="H12" t="str">
            <v>N.A</v>
          </cell>
          <cell r="I12" t="str">
            <v>Hold Salary</v>
          </cell>
          <cell r="J12" t="str">
            <v>30</v>
          </cell>
          <cell r="K12" t="str">
            <v>0</v>
          </cell>
          <cell r="L12" t="str">
            <v>0</v>
          </cell>
          <cell r="M12" t="str">
            <v>N.A</v>
          </cell>
          <cell r="N12" t="str">
            <v>0</v>
          </cell>
          <cell r="O12" t="str">
            <v>0</v>
          </cell>
          <cell r="P12" t="str">
            <v>5</v>
          </cell>
          <cell r="Q12" t="str">
            <v>5</v>
          </cell>
          <cell r="R12" t="str">
            <v>Manager Quality Engineering</v>
          </cell>
          <cell r="S12" t="str">
            <v>Quality Engineering Practice</v>
          </cell>
          <cell r="T12" t="str">
            <v>Hyderabad</v>
          </cell>
          <cell r="U12" t="str">
            <v xml:space="preserve">Telangana </v>
          </cell>
          <cell r="V12" t="str">
            <v>50100568037113</v>
          </cell>
          <cell r="W12" t="str">
            <v>HDFC BANK</v>
          </cell>
          <cell r="X12" t="str">
            <v>182270</v>
          </cell>
          <cell r="Y12" t="str">
            <v>ATGPB1758F</v>
          </cell>
          <cell r="Z12" t="str">
            <v>76584</v>
          </cell>
          <cell r="AA12">
            <v>12764</v>
          </cell>
          <cell r="AB12">
            <v>0</v>
          </cell>
          <cell r="AC12">
            <v>30634</v>
          </cell>
          <cell r="AD12">
            <v>5106</v>
          </cell>
          <cell r="AE12">
            <v>0</v>
          </cell>
          <cell r="AF12">
            <v>8424</v>
          </cell>
          <cell r="AG12">
            <v>1404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</v>
          </cell>
          <cell r="AM12">
            <v>1667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56628</v>
          </cell>
          <cell r="AS12">
            <v>9438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 t="str">
            <v>0</v>
          </cell>
          <cell r="BF12">
            <v>0</v>
          </cell>
          <cell r="BG12" t="str">
            <v>0</v>
          </cell>
          <cell r="BH12">
            <v>30379</v>
          </cell>
          <cell r="BI12">
            <v>30379</v>
          </cell>
          <cell r="BJ12">
            <v>0</v>
          </cell>
          <cell r="BK12">
            <v>0</v>
          </cell>
          <cell r="BL12">
            <v>0</v>
          </cell>
          <cell r="BM12">
            <v>200</v>
          </cell>
          <cell r="BN12">
            <v>0</v>
          </cell>
          <cell r="BO12">
            <v>0</v>
          </cell>
          <cell r="BP12">
            <v>1532</v>
          </cell>
          <cell r="BQ12">
            <v>0</v>
          </cell>
          <cell r="BR12">
            <v>1532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>
            <v>1732</v>
          </cell>
          <cell r="CZ12">
            <v>28647</v>
          </cell>
          <cell r="DA12">
            <v>0</v>
          </cell>
          <cell r="DB12">
            <v>0</v>
          </cell>
          <cell r="DC12">
            <v>28647</v>
          </cell>
        </row>
        <row r="13">
          <cell r="A13" t="str">
            <v>FS161</v>
          </cell>
          <cell r="B13" t="str">
            <v xml:space="preserve">Gangadhar Golli </v>
          </cell>
          <cell r="C13" t="str">
            <v>Quality Engineering</v>
          </cell>
          <cell r="D13" t="str">
            <v>03-05-2021</v>
          </cell>
          <cell r="E13" t="str">
            <v>N.A</v>
          </cell>
          <cell r="F13" t="str">
            <v>2025-10</v>
          </cell>
          <cell r="G13" t="str">
            <v>Success</v>
          </cell>
          <cell r="H13" t="str">
            <v>N.A</v>
          </cell>
          <cell r="I13" t="str">
            <v/>
          </cell>
          <cell r="J13" t="str">
            <v>30</v>
          </cell>
          <cell r="K13" t="str">
            <v>0</v>
          </cell>
          <cell r="L13" t="str">
            <v>0</v>
          </cell>
          <cell r="M13" t="str">
            <v>N.A</v>
          </cell>
          <cell r="N13" t="str">
            <v>0</v>
          </cell>
          <cell r="O13" t="str">
            <v>0</v>
          </cell>
          <cell r="P13" t="str">
            <v>30</v>
          </cell>
          <cell r="Q13" t="str">
            <v>30</v>
          </cell>
          <cell r="R13" t="str">
            <v>Senior Data Architect</v>
          </cell>
          <cell r="S13" t="str">
            <v>Delivery-IN</v>
          </cell>
          <cell r="T13" t="str">
            <v>Hyderabad</v>
          </cell>
          <cell r="U13" t="str">
            <v xml:space="preserve">Telangana </v>
          </cell>
          <cell r="V13" t="str">
            <v>50100724450170</v>
          </cell>
          <cell r="W13" t="str">
            <v>HDFC BANK</v>
          </cell>
          <cell r="X13" t="str">
            <v>234277</v>
          </cell>
          <cell r="Y13" t="str">
            <v>AJVPG7531L</v>
          </cell>
          <cell r="Z13" t="str">
            <v>98436</v>
          </cell>
          <cell r="AA13">
            <v>98436</v>
          </cell>
          <cell r="AB13">
            <v>0</v>
          </cell>
          <cell r="AC13">
            <v>39374</v>
          </cell>
          <cell r="AD13">
            <v>39374</v>
          </cell>
          <cell r="AE13">
            <v>0</v>
          </cell>
          <cell r="AF13">
            <v>10828</v>
          </cell>
          <cell r="AG13">
            <v>10828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10000</v>
          </cell>
          <cell r="AM13">
            <v>10000</v>
          </cell>
          <cell r="AN13">
            <v>0</v>
          </cell>
          <cell r="AO13">
            <v>2200</v>
          </cell>
          <cell r="AP13">
            <v>2200</v>
          </cell>
          <cell r="AQ13">
            <v>0</v>
          </cell>
          <cell r="AR13">
            <v>73439</v>
          </cell>
          <cell r="AS13">
            <v>73439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 t="str">
            <v>0</v>
          </cell>
          <cell r="BF13">
            <v>0</v>
          </cell>
          <cell r="BG13" t="str">
            <v>0</v>
          </cell>
          <cell r="BH13">
            <v>234277</v>
          </cell>
          <cell r="BI13">
            <v>234277</v>
          </cell>
          <cell r="BJ13">
            <v>2200</v>
          </cell>
          <cell r="BK13">
            <v>0</v>
          </cell>
          <cell r="BL13">
            <v>34744</v>
          </cell>
          <cell r="BM13">
            <v>200</v>
          </cell>
          <cell r="BN13">
            <v>0</v>
          </cell>
          <cell r="BO13">
            <v>0</v>
          </cell>
          <cell r="BP13">
            <v>11812</v>
          </cell>
          <cell r="BQ13">
            <v>0</v>
          </cell>
          <cell r="BR13">
            <v>11812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>
            <v>48956</v>
          </cell>
          <cell r="CZ13">
            <v>185321</v>
          </cell>
          <cell r="DA13">
            <v>0</v>
          </cell>
          <cell r="DB13">
            <v>0</v>
          </cell>
          <cell r="DC13">
            <v>185321</v>
          </cell>
        </row>
        <row r="14">
          <cell r="A14" t="str">
            <v>FS163</v>
          </cell>
          <cell r="B14" t="str">
            <v xml:space="preserve">Paramjeet Gujral </v>
          </cell>
          <cell r="C14" t="str">
            <v>Quality Engineering</v>
          </cell>
          <cell r="D14" t="str">
            <v>10-05-2021</v>
          </cell>
          <cell r="E14" t="str">
            <v>N.A</v>
          </cell>
          <cell r="F14" t="str">
            <v>2025-10</v>
          </cell>
          <cell r="G14" t="str">
            <v>Success</v>
          </cell>
          <cell r="H14" t="str">
            <v>N.A</v>
          </cell>
          <cell r="I14" t="str">
            <v/>
          </cell>
          <cell r="J14" t="str">
            <v>30</v>
          </cell>
          <cell r="K14" t="str">
            <v>0</v>
          </cell>
          <cell r="L14" t="str">
            <v>0</v>
          </cell>
          <cell r="M14" t="str">
            <v>N.A</v>
          </cell>
          <cell r="N14" t="str">
            <v>0</v>
          </cell>
          <cell r="O14" t="str">
            <v>0</v>
          </cell>
          <cell r="P14" t="str">
            <v>30</v>
          </cell>
          <cell r="Q14" t="str">
            <v>30</v>
          </cell>
          <cell r="R14" t="str">
            <v>Senior Director -Program Management</v>
          </cell>
          <cell r="S14" t="str">
            <v>Quality Engineering Practice</v>
          </cell>
          <cell r="T14" t="str">
            <v>Hyderabad</v>
          </cell>
          <cell r="U14" t="str">
            <v xml:space="preserve">Telangana </v>
          </cell>
          <cell r="V14" t="str">
            <v>50100700637692</v>
          </cell>
          <cell r="W14" t="str">
            <v>HDFC BANK</v>
          </cell>
          <cell r="X14" t="str">
            <v>385941</v>
          </cell>
          <cell r="Y14" t="str">
            <v>AMTPG3548E</v>
          </cell>
          <cell r="Z14" t="str">
            <v>155096</v>
          </cell>
          <cell r="AA14">
            <v>155096</v>
          </cell>
          <cell r="AB14">
            <v>0</v>
          </cell>
          <cell r="AC14">
            <v>62039</v>
          </cell>
          <cell r="AD14">
            <v>62039</v>
          </cell>
          <cell r="AE14">
            <v>0</v>
          </cell>
          <cell r="AF14">
            <v>17061</v>
          </cell>
          <cell r="AG14">
            <v>17061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10000</v>
          </cell>
          <cell r="AM14">
            <v>10000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141745</v>
          </cell>
          <cell r="AS14">
            <v>141745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 t="str">
            <v>0</v>
          </cell>
          <cell r="BF14">
            <v>0</v>
          </cell>
          <cell r="BG14" t="str">
            <v>0</v>
          </cell>
          <cell r="BH14">
            <v>385941</v>
          </cell>
          <cell r="BI14">
            <v>385941</v>
          </cell>
          <cell r="BJ14">
            <v>0</v>
          </cell>
          <cell r="BK14">
            <v>0</v>
          </cell>
          <cell r="BL14">
            <v>82064</v>
          </cell>
          <cell r="BM14">
            <v>200</v>
          </cell>
          <cell r="BN14">
            <v>0</v>
          </cell>
          <cell r="BO14">
            <v>0</v>
          </cell>
          <cell r="BP14">
            <v>1800</v>
          </cell>
          <cell r="BQ14">
            <v>0</v>
          </cell>
          <cell r="BR14">
            <v>1800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>
            <v>84064</v>
          </cell>
          <cell r="CZ14">
            <v>301877</v>
          </cell>
          <cell r="DA14">
            <v>0</v>
          </cell>
          <cell r="DB14">
            <v>0</v>
          </cell>
          <cell r="DC14">
            <v>301877</v>
          </cell>
        </row>
        <row r="15">
          <cell r="A15" t="str">
            <v>FS165</v>
          </cell>
          <cell r="B15" t="str">
            <v xml:space="preserve">Chandana Pothireddi </v>
          </cell>
          <cell r="C15" t="str">
            <v>Quality Engineering</v>
          </cell>
          <cell r="D15" t="str">
            <v>27-05-2021</v>
          </cell>
          <cell r="E15" t="str">
            <v>N.A</v>
          </cell>
          <cell r="F15" t="str">
            <v>2025-10</v>
          </cell>
          <cell r="G15" t="str">
            <v>Success</v>
          </cell>
          <cell r="H15" t="str">
            <v>N.A</v>
          </cell>
          <cell r="I15" t="str">
            <v/>
          </cell>
          <cell r="J15" t="str">
            <v>30</v>
          </cell>
          <cell r="K15" t="str">
            <v>0</v>
          </cell>
          <cell r="L15" t="str">
            <v>0</v>
          </cell>
          <cell r="M15" t="str">
            <v>N.A</v>
          </cell>
          <cell r="N15" t="str">
            <v>0</v>
          </cell>
          <cell r="O15" t="str">
            <v>0</v>
          </cell>
          <cell r="P15" t="str">
            <v>30</v>
          </cell>
          <cell r="Q15" t="str">
            <v>30</v>
          </cell>
          <cell r="R15" t="str">
            <v>QA Manager</v>
          </cell>
          <cell r="S15" t="str">
            <v>Delivery-IN</v>
          </cell>
          <cell r="T15" t="str">
            <v>Hyderabad</v>
          </cell>
          <cell r="U15" t="str">
            <v xml:space="preserve">Telangana </v>
          </cell>
          <cell r="V15" t="str">
            <v>02771610133771</v>
          </cell>
          <cell r="W15" t="str">
            <v>HDFC BANK</v>
          </cell>
          <cell r="X15" t="str">
            <v>194249</v>
          </cell>
          <cell r="Y15" t="str">
            <v>AYMPP9397B</v>
          </cell>
          <cell r="Z15" t="str">
            <v>81617</v>
          </cell>
          <cell r="AA15">
            <v>81617</v>
          </cell>
          <cell r="AB15">
            <v>0</v>
          </cell>
          <cell r="AC15">
            <v>32647</v>
          </cell>
          <cell r="AD15">
            <v>32647</v>
          </cell>
          <cell r="AE15">
            <v>0</v>
          </cell>
          <cell r="AF15">
            <v>8978</v>
          </cell>
          <cell r="AG15">
            <v>8978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10000</v>
          </cell>
          <cell r="AM15">
            <v>10000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61007</v>
          </cell>
          <cell r="AS15">
            <v>61007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 t="str">
            <v>0</v>
          </cell>
          <cell r="BF15">
            <v>0</v>
          </cell>
          <cell r="BG15" t="str">
            <v>0</v>
          </cell>
          <cell r="BH15">
            <v>194249</v>
          </cell>
          <cell r="BI15">
            <v>194249</v>
          </cell>
          <cell r="BJ15">
            <v>0</v>
          </cell>
          <cell r="BK15">
            <v>0</v>
          </cell>
          <cell r="BL15">
            <v>22880</v>
          </cell>
          <cell r="BM15">
            <v>200</v>
          </cell>
          <cell r="BN15">
            <v>0</v>
          </cell>
          <cell r="BO15">
            <v>0</v>
          </cell>
          <cell r="BP15">
            <v>9794</v>
          </cell>
          <cell r="BQ15">
            <v>0</v>
          </cell>
          <cell r="BR15">
            <v>9794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>
            <v>32874</v>
          </cell>
          <cell r="CZ15">
            <v>161375</v>
          </cell>
          <cell r="DA15">
            <v>0</v>
          </cell>
          <cell r="DB15">
            <v>0</v>
          </cell>
          <cell r="DC15">
            <v>161375</v>
          </cell>
        </row>
        <row r="16">
          <cell r="A16" t="str">
            <v>FS167</v>
          </cell>
          <cell r="B16" t="str">
            <v>Kanakanti Kalpana</v>
          </cell>
          <cell r="C16" t="str">
            <v>Talent Acquisition</v>
          </cell>
          <cell r="D16" t="str">
            <v>01-06-2021</v>
          </cell>
          <cell r="E16" t="str">
            <v>N.A</v>
          </cell>
          <cell r="F16" t="str">
            <v>2025-10</v>
          </cell>
          <cell r="G16" t="str">
            <v>Success</v>
          </cell>
          <cell r="H16" t="str">
            <v>N.A</v>
          </cell>
          <cell r="I16" t="str">
            <v/>
          </cell>
          <cell r="J16" t="str">
            <v>30</v>
          </cell>
          <cell r="K16" t="str">
            <v>0</v>
          </cell>
          <cell r="L16" t="str">
            <v>0</v>
          </cell>
          <cell r="M16" t="str">
            <v>N.A</v>
          </cell>
          <cell r="N16" t="str">
            <v>0</v>
          </cell>
          <cell r="O16" t="str">
            <v>0</v>
          </cell>
          <cell r="P16" t="str">
            <v>30</v>
          </cell>
          <cell r="Q16" t="str">
            <v>30</v>
          </cell>
          <cell r="R16" t="str">
            <v>Senior Executive- Talent Acquisition</v>
          </cell>
          <cell r="S16" t="str">
            <v>Recruitment-IN</v>
          </cell>
          <cell r="T16" t="str">
            <v>Hyderabad</v>
          </cell>
          <cell r="U16" t="str">
            <v xml:space="preserve">Telangana </v>
          </cell>
          <cell r="V16" t="str">
            <v>50100246324325</v>
          </cell>
          <cell r="W16" t="str">
            <v>HDFC BANK</v>
          </cell>
          <cell r="X16" t="str">
            <v>70382</v>
          </cell>
          <cell r="Y16" t="str">
            <v>EJUPK6859Q</v>
          </cell>
          <cell r="Z16" t="str">
            <v>28873</v>
          </cell>
          <cell r="AA16">
            <v>28873</v>
          </cell>
          <cell r="AB16">
            <v>0</v>
          </cell>
          <cell r="AC16">
            <v>11549</v>
          </cell>
          <cell r="AD16">
            <v>11549</v>
          </cell>
          <cell r="AE16">
            <v>0</v>
          </cell>
          <cell r="AF16">
            <v>3176</v>
          </cell>
          <cell r="AG16">
            <v>3176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10000</v>
          </cell>
          <cell r="AM16">
            <v>10000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16784</v>
          </cell>
          <cell r="AS16">
            <v>16784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 t="str">
            <v>0</v>
          </cell>
          <cell r="BF16">
            <v>0</v>
          </cell>
          <cell r="BG16" t="str">
            <v>0</v>
          </cell>
          <cell r="BH16">
            <v>70382</v>
          </cell>
          <cell r="BI16">
            <v>70382</v>
          </cell>
          <cell r="BJ16">
            <v>0</v>
          </cell>
          <cell r="BK16">
            <v>0</v>
          </cell>
          <cell r="BL16">
            <v>0</v>
          </cell>
          <cell r="BM16">
            <v>200</v>
          </cell>
          <cell r="BN16">
            <v>0</v>
          </cell>
          <cell r="BO16">
            <v>0</v>
          </cell>
          <cell r="BP16">
            <v>1800</v>
          </cell>
          <cell r="BQ16">
            <v>0</v>
          </cell>
          <cell r="BR16">
            <v>1800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>
            <v>2000</v>
          </cell>
          <cell r="CZ16">
            <v>68382</v>
          </cell>
          <cell r="DA16">
            <v>0</v>
          </cell>
          <cell r="DB16">
            <v>0</v>
          </cell>
          <cell r="DC16">
            <v>68382</v>
          </cell>
        </row>
        <row r="17">
          <cell r="A17" t="str">
            <v>FS169</v>
          </cell>
          <cell r="B17" t="str">
            <v xml:space="preserve">Mallikarjuna Rao Pagadala </v>
          </cell>
          <cell r="C17" t="str">
            <v>Quality Engineering</v>
          </cell>
          <cell r="D17" t="str">
            <v>01-07-2021</v>
          </cell>
          <cell r="E17" t="str">
            <v>N.A</v>
          </cell>
          <cell r="F17" t="str">
            <v>2025-10</v>
          </cell>
          <cell r="G17" t="str">
            <v>Success</v>
          </cell>
          <cell r="H17" t="str">
            <v>N.A</v>
          </cell>
          <cell r="I17" t="str">
            <v/>
          </cell>
          <cell r="J17" t="str">
            <v>30</v>
          </cell>
          <cell r="K17" t="str">
            <v>0</v>
          </cell>
          <cell r="L17" t="str">
            <v>0</v>
          </cell>
          <cell r="M17" t="str">
            <v>N.A</v>
          </cell>
          <cell r="N17" t="str">
            <v>0</v>
          </cell>
          <cell r="O17" t="str">
            <v>0</v>
          </cell>
          <cell r="P17" t="str">
            <v>30</v>
          </cell>
          <cell r="Q17" t="str">
            <v>30</v>
          </cell>
          <cell r="R17" t="str">
            <v>Software Engineer</v>
          </cell>
          <cell r="S17" t="str">
            <v>Delivery-IN</v>
          </cell>
          <cell r="T17" t="str">
            <v>Hyderabad</v>
          </cell>
          <cell r="U17" t="str">
            <v xml:space="preserve">Telangana </v>
          </cell>
          <cell r="V17" t="str">
            <v>50100568112392</v>
          </cell>
          <cell r="W17" t="str">
            <v>HDFC BANK</v>
          </cell>
          <cell r="X17" t="str">
            <v>46432</v>
          </cell>
          <cell r="Y17" t="str">
            <v>AZBPP1346C</v>
          </cell>
          <cell r="Z17" t="str">
            <v>19293</v>
          </cell>
          <cell r="AA17">
            <v>19293</v>
          </cell>
          <cell r="AB17">
            <v>0</v>
          </cell>
          <cell r="AC17">
            <v>7717</v>
          </cell>
          <cell r="AD17">
            <v>7717</v>
          </cell>
          <cell r="AE17">
            <v>0</v>
          </cell>
          <cell r="AF17">
            <v>2122</v>
          </cell>
          <cell r="AG17">
            <v>2122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4823</v>
          </cell>
          <cell r="AM17">
            <v>4823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12477</v>
          </cell>
          <cell r="AS17">
            <v>12477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 t="str">
            <v>0</v>
          </cell>
          <cell r="BF17">
            <v>0</v>
          </cell>
          <cell r="BG17" t="str">
            <v>0</v>
          </cell>
          <cell r="BH17">
            <v>46432</v>
          </cell>
          <cell r="BI17">
            <v>46432</v>
          </cell>
          <cell r="BJ17">
            <v>0</v>
          </cell>
          <cell r="BK17">
            <v>0</v>
          </cell>
          <cell r="BL17">
            <v>0</v>
          </cell>
          <cell r="BM17">
            <v>200</v>
          </cell>
          <cell r="BN17">
            <v>0</v>
          </cell>
          <cell r="BO17">
            <v>0</v>
          </cell>
          <cell r="BP17">
            <v>1800</v>
          </cell>
          <cell r="BQ17">
            <v>0</v>
          </cell>
          <cell r="BR17">
            <v>1800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2000</v>
          </cell>
          <cell r="CZ17">
            <v>44432</v>
          </cell>
          <cell r="DA17">
            <v>0</v>
          </cell>
          <cell r="DB17">
            <v>0</v>
          </cell>
          <cell r="DC17">
            <v>44432</v>
          </cell>
        </row>
        <row r="18">
          <cell r="A18" t="str">
            <v>FS179</v>
          </cell>
          <cell r="B18" t="str">
            <v xml:space="preserve">Srikanth Kantha Reddy </v>
          </cell>
          <cell r="C18" t="str">
            <v>Sales</v>
          </cell>
          <cell r="D18" t="str">
            <v>01-09-2021</v>
          </cell>
          <cell r="E18" t="str">
            <v>N.A</v>
          </cell>
          <cell r="F18" t="str">
            <v>2025-10</v>
          </cell>
          <cell r="G18" t="str">
            <v>Success</v>
          </cell>
          <cell r="H18" t="str">
            <v>N.A</v>
          </cell>
          <cell r="I18" t="str">
            <v/>
          </cell>
          <cell r="J18" t="str">
            <v>30</v>
          </cell>
          <cell r="K18" t="str">
            <v>0</v>
          </cell>
          <cell r="L18" t="str">
            <v>0</v>
          </cell>
          <cell r="M18" t="str">
            <v>N.A</v>
          </cell>
          <cell r="N18" t="str">
            <v>0</v>
          </cell>
          <cell r="O18" t="str">
            <v>0</v>
          </cell>
          <cell r="P18" t="str">
            <v>30</v>
          </cell>
          <cell r="Q18" t="str">
            <v>30</v>
          </cell>
          <cell r="R18" t="str">
            <v>Associate Director -Inside Sales</v>
          </cell>
          <cell r="S18" t="str">
            <v>Business Development</v>
          </cell>
          <cell r="T18" t="str">
            <v>Hyderabad</v>
          </cell>
          <cell r="U18" t="str">
            <v xml:space="preserve">Telangana </v>
          </cell>
          <cell r="V18" t="str">
            <v>99919989312493</v>
          </cell>
          <cell r="W18" t="str">
            <v>HDFC BANK</v>
          </cell>
          <cell r="X18" t="str">
            <v>230165</v>
          </cell>
          <cell r="Y18" t="str">
            <v>AVBPK5746R</v>
          </cell>
          <cell r="Z18" t="str">
            <v>87186</v>
          </cell>
          <cell r="AA18">
            <v>87186</v>
          </cell>
          <cell r="AB18">
            <v>0</v>
          </cell>
          <cell r="AC18">
            <v>34874</v>
          </cell>
          <cell r="AD18">
            <v>34874</v>
          </cell>
          <cell r="AE18">
            <v>0</v>
          </cell>
          <cell r="AF18">
            <v>9591</v>
          </cell>
          <cell r="AG18">
            <v>9591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10000</v>
          </cell>
          <cell r="AM18">
            <v>10000</v>
          </cell>
          <cell r="AN18">
            <v>0</v>
          </cell>
          <cell r="AO18">
            <v>2200</v>
          </cell>
          <cell r="AP18">
            <v>2200</v>
          </cell>
          <cell r="AQ18">
            <v>0</v>
          </cell>
          <cell r="AR18">
            <v>72314</v>
          </cell>
          <cell r="AS18">
            <v>72314</v>
          </cell>
          <cell r="AT18">
            <v>0</v>
          </cell>
          <cell r="AU18">
            <v>0</v>
          </cell>
          <cell r="AV18">
            <v>0</v>
          </cell>
          <cell r="AW18">
            <v>14000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 t="str">
            <v>0</v>
          </cell>
          <cell r="BF18">
            <v>0</v>
          </cell>
          <cell r="BG18">
            <v>14000</v>
          </cell>
          <cell r="BH18">
            <v>230165</v>
          </cell>
          <cell r="BI18">
            <v>230165</v>
          </cell>
          <cell r="BJ18">
            <v>2200</v>
          </cell>
          <cell r="BK18">
            <v>0</v>
          </cell>
          <cell r="BL18">
            <v>33028</v>
          </cell>
          <cell r="BM18">
            <v>200</v>
          </cell>
          <cell r="BN18">
            <v>0</v>
          </cell>
          <cell r="BO18">
            <v>0</v>
          </cell>
          <cell r="BP18">
            <v>1800</v>
          </cell>
          <cell r="BQ18">
            <v>0</v>
          </cell>
          <cell r="BR18">
            <v>1800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>
            <v>37228</v>
          </cell>
          <cell r="CZ18">
            <v>192937</v>
          </cell>
          <cell r="DA18">
            <v>0</v>
          </cell>
          <cell r="DB18">
            <v>0</v>
          </cell>
          <cell r="DC18">
            <v>192937</v>
          </cell>
        </row>
        <row r="19">
          <cell r="A19" t="str">
            <v>FS181</v>
          </cell>
          <cell r="B19" t="str">
            <v>Bashyam Roopa Chandra</v>
          </cell>
          <cell r="C19" t="str">
            <v>Talent Acquisition</v>
          </cell>
          <cell r="D19" t="str">
            <v>20-09-2021</v>
          </cell>
          <cell r="E19" t="str">
            <v>N.A</v>
          </cell>
          <cell r="F19" t="str">
            <v>2025-10</v>
          </cell>
          <cell r="G19" t="str">
            <v>Success</v>
          </cell>
          <cell r="H19" t="str">
            <v>N.A</v>
          </cell>
          <cell r="I19" t="str">
            <v/>
          </cell>
          <cell r="J19" t="str">
            <v>30</v>
          </cell>
          <cell r="K19" t="str">
            <v>0</v>
          </cell>
          <cell r="L19" t="str">
            <v>0</v>
          </cell>
          <cell r="M19" t="str">
            <v>N.A</v>
          </cell>
          <cell r="N19" t="str">
            <v>0</v>
          </cell>
          <cell r="O19" t="str">
            <v>0</v>
          </cell>
          <cell r="P19" t="str">
            <v>30</v>
          </cell>
          <cell r="Q19" t="str">
            <v>30</v>
          </cell>
          <cell r="R19" t="str">
            <v>Senior Executive- Talent Acquisition</v>
          </cell>
          <cell r="S19" t="str">
            <v>Recruitment-IN</v>
          </cell>
          <cell r="T19" t="str">
            <v>Hyderabad</v>
          </cell>
          <cell r="U19" t="str">
            <v xml:space="preserve">Telangana </v>
          </cell>
          <cell r="V19" t="str">
            <v>40464576590</v>
          </cell>
          <cell r="W19" t="str">
            <v>STATE BANK OF INDIA</v>
          </cell>
          <cell r="X19" t="str">
            <v>59767</v>
          </cell>
          <cell r="Y19" t="str">
            <v>CABPR4794P</v>
          </cell>
          <cell r="Z19" t="str">
            <v>24627</v>
          </cell>
          <cell r="AA19">
            <v>24627</v>
          </cell>
          <cell r="AB19">
            <v>0</v>
          </cell>
          <cell r="AC19">
            <v>9851</v>
          </cell>
          <cell r="AD19">
            <v>9851</v>
          </cell>
          <cell r="AE19">
            <v>0</v>
          </cell>
          <cell r="AF19">
            <v>2709</v>
          </cell>
          <cell r="AG19">
            <v>2709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6157</v>
          </cell>
          <cell r="AM19">
            <v>6157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16423</v>
          </cell>
          <cell r="AS19">
            <v>16423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 t="str">
            <v>0</v>
          </cell>
          <cell r="BF19">
            <v>0</v>
          </cell>
          <cell r="BG19">
            <v>0</v>
          </cell>
          <cell r="BH19">
            <v>59767</v>
          </cell>
          <cell r="BI19">
            <v>59767</v>
          </cell>
          <cell r="BJ19">
            <v>0</v>
          </cell>
          <cell r="BK19">
            <v>0</v>
          </cell>
          <cell r="BL19">
            <v>0</v>
          </cell>
          <cell r="BM19">
            <v>200</v>
          </cell>
          <cell r="BN19">
            <v>0</v>
          </cell>
          <cell r="BO19">
            <v>0</v>
          </cell>
          <cell r="BP19">
            <v>1800</v>
          </cell>
          <cell r="BQ19">
            <v>0</v>
          </cell>
          <cell r="BR19">
            <v>1800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>
            <v>2000</v>
          </cell>
          <cell r="CZ19">
            <v>57767</v>
          </cell>
          <cell r="DA19">
            <v>0</v>
          </cell>
          <cell r="DB19">
            <v>0</v>
          </cell>
          <cell r="DC19">
            <v>57767</v>
          </cell>
        </row>
        <row r="20">
          <cell r="A20" t="str">
            <v>FS182</v>
          </cell>
          <cell r="B20" t="str">
            <v xml:space="preserve">Mahesh Guntuka </v>
          </cell>
          <cell r="C20" t="str">
            <v>Product Engineering</v>
          </cell>
          <cell r="D20" t="str">
            <v>01-10-2021</v>
          </cell>
          <cell r="E20" t="str">
            <v>N.A</v>
          </cell>
          <cell r="F20" t="str">
            <v>2025-10</v>
          </cell>
          <cell r="G20" t="str">
            <v>Success</v>
          </cell>
          <cell r="H20" t="str">
            <v>N.A</v>
          </cell>
          <cell r="I20" t="str">
            <v/>
          </cell>
          <cell r="J20" t="str">
            <v>30</v>
          </cell>
          <cell r="K20" t="str">
            <v>0</v>
          </cell>
          <cell r="L20" t="str">
            <v>0</v>
          </cell>
          <cell r="M20" t="str">
            <v>N.A</v>
          </cell>
          <cell r="N20" t="str">
            <v>0</v>
          </cell>
          <cell r="O20" t="str">
            <v>0</v>
          </cell>
          <cell r="P20" t="str">
            <v>30</v>
          </cell>
          <cell r="Q20" t="str">
            <v>30</v>
          </cell>
          <cell r="R20" t="str">
            <v>Associate Architect</v>
          </cell>
          <cell r="S20" t="str">
            <v>Delivery-IN</v>
          </cell>
          <cell r="T20" t="str">
            <v>Hyderabad</v>
          </cell>
          <cell r="U20" t="str">
            <v xml:space="preserve">Telangana </v>
          </cell>
          <cell r="V20" t="str">
            <v>19821000005651</v>
          </cell>
          <cell r="W20" t="str">
            <v>HDFC BANK</v>
          </cell>
          <cell r="X20" t="str">
            <v>313135</v>
          </cell>
          <cell r="Y20" t="str">
            <v>AQIPG6162B</v>
          </cell>
          <cell r="Z20" t="str">
            <v>125974</v>
          </cell>
          <cell r="AA20">
            <v>125974</v>
          </cell>
          <cell r="AB20">
            <v>0</v>
          </cell>
          <cell r="AC20">
            <v>50390</v>
          </cell>
          <cell r="AD20">
            <v>50390</v>
          </cell>
          <cell r="AE20">
            <v>0</v>
          </cell>
          <cell r="AF20">
            <v>13857</v>
          </cell>
          <cell r="AG20">
            <v>13857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10000</v>
          </cell>
          <cell r="AM20">
            <v>10000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112914</v>
          </cell>
          <cell r="AS20">
            <v>112914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 t="str">
            <v>0</v>
          </cell>
          <cell r="BF20">
            <v>0</v>
          </cell>
          <cell r="BG20">
            <v>0</v>
          </cell>
          <cell r="BH20">
            <v>313135</v>
          </cell>
          <cell r="BI20">
            <v>313135</v>
          </cell>
          <cell r="BJ20">
            <v>0</v>
          </cell>
          <cell r="BK20">
            <v>0</v>
          </cell>
          <cell r="BL20">
            <v>59348</v>
          </cell>
          <cell r="BM20">
            <v>200</v>
          </cell>
          <cell r="BN20">
            <v>0</v>
          </cell>
          <cell r="BO20">
            <v>0</v>
          </cell>
          <cell r="BP20">
            <v>1800</v>
          </cell>
          <cell r="BQ20">
            <v>0</v>
          </cell>
          <cell r="BR20">
            <v>1800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>
            <v>61348</v>
          </cell>
          <cell r="CZ20">
            <v>251787</v>
          </cell>
          <cell r="DA20">
            <v>0</v>
          </cell>
          <cell r="DB20">
            <v>0</v>
          </cell>
          <cell r="DC20">
            <v>251787</v>
          </cell>
        </row>
        <row r="21">
          <cell r="A21" t="str">
            <v>FS187</v>
          </cell>
          <cell r="B21" t="str">
            <v xml:space="preserve">Gouthami Lingamaneni </v>
          </cell>
          <cell r="C21" t="str">
            <v>Quality Engineering</v>
          </cell>
          <cell r="D21" t="str">
            <v>08-11-2021</v>
          </cell>
          <cell r="E21" t="str">
            <v>N.A</v>
          </cell>
          <cell r="F21" t="str">
            <v>2025-10</v>
          </cell>
          <cell r="G21" t="str">
            <v>Success</v>
          </cell>
          <cell r="H21" t="str">
            <v>N.A</v>
          </cell>
          <cell r="I21" t="str">
            <v/>
          </cell>
          <cell r="J21" t="str">
            <v>30</v>
          </cell>
          <cell r="K21" t="str">
            <v>0</v>
          </cell>
          <cell r="L21" t="str">
            <v>0</v>
          </cell>
          <cell r="M21" t="str">
            <v>N.A</v>
          </cell>
          <cell r="N21" t="str">
            <v>0</v>
          </cell>
          <cell r="O21" t="str">
            <v>0</v>
          </cell>
          <cell r="P21" t="str">
            <v>30</v>
          </cell>
          <cell r="Q21" t="str">
            <v>30</v>
          </cell>
          <cell r="R21" t="str">
            <v>Lead -QA</v>
          </cell>
          <cell r="S21" t="str">
            <v>Innovation-In</v>
          </cell>
          <cell r="T21" t="str">
            <v>Hyderabad</v>
          </cell>
          <cell r="U21" t="str">
            <v xml:space="preserve">Telangana </v>
          </cell>
          <cell r="V21" t="str">
            <v>50100094847907</v>
          </cell>
          <cell r="W21" t="str">
            <v>HDFC BANK</v>
          </cell>
          <cell r="X21" t="str">
            <v>101774</v>
          </cell>
          <cell r="Y21" t="str">
            <v>ALCPL5884E</v>
          </cell>
          <cell r="Z21" t="str">
            <v>42762</v>
          </cell>
          <cell r="AA21">
            <v>42762</v>
          </cell>
          <cell r="AB21">
            <v>0</v>
          </cell>
          <cell r="AC21">
            <v>17105</v>
          </cell>
          <cell r="AD21">
            <v>17105</v>
          </cell>
          <cell r="AE21">
            <v>0</v>
          </cell>
          <cell r="AF21">
            <v>4704</v>
          </cell>
          <cell r="AG21">
            <v>4704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10000</v>
          </cell>
          <cell r="AM21">
            <v>10000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27203</v>
          </cell>
          <cell r="AS21">
            <v>27203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 t="str">
            <v>0</v>
          </cell>
          <cell r="BF21">
            <v>0</v>
          </cell>
          <cell r="BG21">
            <v>0</v>
          </cell>
          <cell r="BH21">
            <v>101774</v>
          </cell>
          <cell r="BI21">
            <v>101774</v>
          </cell>
          <cell r="BJ21">
            <v>0</v>
          </cell>
          <cell r="BK21">
            <v>0</v>
          </cell>
          <cell r="BL21">
            <v>0</v>
          </cell>
          <cell r="BM21">
            <v>200</v>
          </cell>
          <cell r="BN21">
            <v>0</v>
          </cell>
          <cell r="BO21">
            <v>0</v>
          </cell>
          <cell r="BP21">
            <v>5131</v>
          </cell>
          <cell r="BQ21">
            <v>0</v>
          </cell>
          <cell r="BR21">
            <v>5131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>
            <v>5331</v>
          </cell>
          <cell r="CZ21">
            <v>96443</v>
          </cell>
          <cell r="DA21">
            <v>0</v>
          </cell>
          <cell r="DB21">
            <v>0</v>
          </cell>
          <cell r="DC21">
            <v>96443</v>
          </cell>
        </row>
        <row r="22">
          <cell r="A22" t="str">
            <v>FS193</v>
          </cell>
          <cell r="B22" t="str">
            <v xml:space="preserve">Anirudh Nampally </v>
          </cell>
          <cell r="C22" t="str">
            <v>Product Engineering</v>
          </cell>
          <cell r="D22" t="str">
            <v>06-12-2021</v>
          </cell>
          <cell r="E22" t="str">
            <v>N.A</v>
          </cell>
          <cell r="F22" t="str">
            <v>2025-10</v>
          </cell>
          <cell r="G22" t="str">
            <v>Success</v>
          </cell>
          <cell r="H22" t="str">
            <v>N.A</v>
          </cell>
          <cell r="I22" t="str">
            <v/>
          </cell>
          <cell r="J22" t="str">
            <v>30</v>
          </cell>
          <cell r="K22" t="str">
            <v>0</v>
          </cell>
          <cell r="L22" t="str">
            <v>0</v>
          </cell>
          <cell r="M22" t="str">
            <v>N.A</v>
          </cell>
          <cell r="N22" t="str">
            <v>0</v>
          </cell>
          <cell r="O22" t="str">
            <v>0</v>
          </cell>
          <cell r="P22" t="str">
            <v>30</v>
          </cell>
          <cell r="Q22" t="str">
            <v>30</v>
          </cell>
          <cell r="R22" t="str">
            <v>Architect</v>
          </cell>
          <cell r="S22" t="str">
            <v>Delivery-IN</v>
          </cell>
          <cell r="T22" t="str">
            <v>Hyderabad</v>
          </cell>
          <cell r="U22" t="str">
            <v xml:space="preserve">Telangana </v>
          </cell>
          <cell r="V22" t="str">
            <v>50100561253863</v>
          </cell>
          <cell r="W22" t="str">
            <v>HDFC BANK</v>
          </cell>
          <cell r="X22" t="str">
            <v>304077</v>
          </cell>
          <cell r="Y22" t="str">
            <v>AKAPN1591M</v>
          </cell>
          <cell r="Z22" t="str">
            <v>127764</v>
          </cell>
          <cell r="AA22">
            <v>127764</v>
          </cell>
          <cell r="AB22">
            <v>0</v>
          </cell>
          <cell r="AC22">
            <v>51105</v>
          </cell>
          <cell r="AD22">
            <v>51105</v>
          </cell>
          <cell r="AE22">
            <v>0</v>
          </cell>
          <cell r="AF22">
            <v>14054</v>
          </cell>
          <cell r="AG22">
            <v>14054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10000</v>
          </cell>
          <cell r="AM22">
            <v>10000</v>
          </cell>
          <cell r="AN22">
            <v>0</v>
          </cell>
          <cell r="AO22">
            <v>2200</v>
          </cell>
          <cell r="AP22">
            <v>2200</v>
          </cell>
          <cell r="AQ22">
            <v>0</v>
          </cell>
          <cell r="AR22">
            <v>98954</v>
          </cell>
          <cell r="AS22">
            <v>98954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 t="str">
            <v>0</v>
          </cell>
          <cell r="BF22">
            <v>0</v>
          </cell>
          <cell r="BG22">
            <v>0</v>
          </cell>
          <cell r="BH22">
            <v>304077</v>
          </cell>
          <cell r="BI22">
            <v>304077</v>
          </cell>
          <cell r="BJ22">
            <v>2200</v>
          </cell>
          <cell r="BK22">
            <v>0</v>
          </cell>
          <cell r="BL22">
            <v>56522</v>
          </cell>
          <cell r="BM22">
            <v>200</v>
          </cell>
          <cell r="BN22">
            <v>0</v>
          </cell>
          <cell r="BO22">
            <v>0</v>
          </cell>
          <cell r="BP22">
            <v>15332</v>
          </cell>
          <cell r="BQ22">
            <v>0</v>
          </cell>
          <cell r="BR22">
            <v>15332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>
            <v>74254</v>
          </cell>
          <cell r="CZ22">
            <v>229823</v>
          </cell>
          <cell r="DA22">
            <v>0</v>
          </cell>
          <cell r="DB22">
            <v>0</v>
          </cell>
          <cell r="DC22">
            <v>229823</v>
          </cell>
        </row>
        <row r="23">
          <cell r="A23" t="str">
            <v>FS199</v>
          </cell>
          <cell r="B23" t="str">
            <v xml:space="preserve">Ayesha Siddiqa </v>
          </cell>
          <cell r="C23" t="str">
            <v>Product Engineering</v>
          </cell>
          <cell r="D23" t="str">
            <v>01-01-2022</v>
          </cell>
          <cell r="E23" t="str">
            <v>N.A</v>
          </cell>
          <cell r="F23" t="str">
            <v>2025-10</v>
          </cell>
          <cell r="G23" t="str">
            <v>Success</v>
          </cell>
          <cell r="H23" t="str">
            <v>N.A</v>
          </cell>
          <cell r="I23" t="str">
            <v/>
          </cell>
          <cell r="J23" t="str">
            <v>30</v>
          </cell>
          <cell r="K23" t="str">
            <v>0</v>
          </cell>
          <cell r="L23" t="str">
            <v>0</v>
          </cell>
          <cell r="M23" t="str">
            <v>N.A</v>
          </cell>
          <cell r="N23" t="str">
            <v>0</v>
          </cell>
          <cell r="O23" t="str">
            <v>0</v>
          </cell>
          <cell r="P23" t="str">
            <v>30</v>
          </cell>
          <cell r="Q23" t="str">
            <v>30</v>
          </cell>
          <cell r="R23" t="str">
            <v>Data Engineer - I</v>
          </cell>
          <cell r="S23" t="str">
            <v>Delivery-IN</v>
          </cell>
          <cell r="T23" t="str">
            <v>Hyderabad</v>
          </cell>
          <cell r="U23" t="str">
            <v xml:space="preserve">Telangana </v>
          </cell>
          <cell r="V23" t="str">
            <v>40448681617</v>
          </cell>
          <cell r="W23" t="str">
            <v>STATE BANK OF INDIA</v>
          </cell>
          <cell r="X23" t="str">
            <v>79350</v>
          </cell>
          <cell r="Y23" t="str">
            <v>DHDPA3528L</v>
          </cell>
          <cell r="Z23" t="str">
            <v>33341</v>
          </cell>
          <cell r="AA23">
            <v>33341</v>
          </cell>
          <cell r="AB23">
            <v>0</v>
          </cell>
          <cell r="AC23">
            <v>13336</v>
          </cell>
          <cell r="AD23">
            <v>13336</v>
          </cell>
          <cell r="AE23">
            <v>0</v>
          </cell>
          <cell r="AF23">
            <v>3667</v>
          </cell>
          <cell r="AG23">
            <v>3667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8335</v>
          </cell>
          <cell r="AM23">
            <v>8335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20671</v>
          </cell>
          <cell r="AS23">
            <v>20671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 t="str">
            <v>0</v>
          </cell>
          <cell r="BF23">
            <v>0</v>
          </cell>
          <cell r="BG23">
            <v>0</v>
          </cell>
          <cell r="BH23">
            <v>79350</v>
          </cell>
          <cell r="BI23">
            <v>79350</v>
          </cell>
          <cell r="BJ23">
            <v>0</v>
          </cell>
          <cell r="BK23">
            <v>0</v>
          </cell>
          <cell r="BL23">
            <v>0</v>
          </cell>
          <cell r="BM23">
            <v>200</v>
          </cell>
          <cell r="BN23">
            <v>0</v>
          </cell>
          <cell r="BO23">
            <v>0</v>
          </cell>
          <cell r="BP23">
            <v>4001</v>
          </cell>
          <cell r="BQ23">
            <v>0</v>
          </cell>
          <cell r="BR23">
            <v>4001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>
            <v>4201</v>
          </cell>
          <cell r="CZ23">
            <v>75149</v>
          </cell>
          <cell r="DA23">
            <v>0</v>
          </cell>
          <cell r="DB23">
            <v>0</v>
          </cell>
          <cell r="DC23">
            <v>75149</v>
          </cell>
        </row>
        <row r="24">
          <cell r="A24" t="str">
            <v>FS200</v>
          </cell>
          <cell r="B24" t="str">
            <v>Kondapalli Divya Sree</v>
          </cell>
          <cell r="C24" t="str">
            <v>Quality Engineering</v>
          </cell>
          <cell r="D24" t="str">
            <v>01-01-2022</v>
          </cell>
          <cell r="E24" t="str">
            <v>N.A</v>
          </cell>
          <cell r="F24" t="str">
            <v>2025-10</v>
          </cell>
          <cell r="G24" t="str">
            <v>Success</v>
          </cell>
          <cell r="H24" t="str">
            <v>N.A</v>
          </cell>
          <cell r="I24" t="str">
            <v/>
          </cell>
          <cell r="J24" t="str">
            <v>30</v>
          </cell>
          <cell r="K24" t="str">
            <v>0</v>
          </cell>
          <cell r="L24" t="str">
            <v>0</v>
          </cell>
          <cell r="M24" t="str">
            <v>N.A</v>
          </cell>
          <cell r="N24" t="str">
            <v>0</v>
          </cell>
          <cell r="O24" t="str">
            <v>0</v>
          </cell>
          <cell r="P24" t="str">
            <v>30</v>
          </cell>
          <cell r="Q24" t="str">
            <v>30</v>
          </cell>
          <cell r="R24" t="str">
            <v>Software development Engineer in test II (SDET-II)</v>
          </cell>
          <cell r="S24" t="str">
            <v>Delivery-IN</v>
          </cell>
          <cell r="T24" t="str">
            <v>Hyderabad</v>
          </cell>
          <cell r="U24" t="str">
            <v xml:space="preserve">Telangana </v>
          </cell>
          <cell r="V24" t="str">
            <v>50100743219381</v>
          </cell>
          <cell r="W24" t="str">
            <v>HDFC BANK</v>
          </cell>
          <cell r="X24" t="str">
            <v>90480</v>
          </cell>
          <cell r="Y24" t="str">
            <v>GVCPK3707B</v>
          </cell>
          <cell r="Z24" t="str">
            <v>38017</v>
          </cell>
          <cell r="AA24">
            <v>38017</v>
          </cell>
          <cell r="AB24">
            <v>0</v>
          </cell>
          <cell r="AC24">
            <v>15207</v>
          </cell>
          <cell r="AD24">
            <v>15207</v>
          </cell>
          <cell r="AE24">
            <v>0</v>
          </cell>
          <cell r="AF24">
            <v>4182</v>
          </cell>
          <cell r="AG24">
            <v>4182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9504</v>
          </cell>
          <cell r="AM24">
            <v>9504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23570</v>
          </cell>
          <cell r="AS24">
            <v>23570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 t="str">
            <v>0</v>
          </cell>
          <cell r="BF24">
            <v>0</v>
          </cell>
          <cell r="BG24">
            <v>0</v>
          </cell>
          <cell r="BH24">
            <v>90480</v>
          </cell>
          <cell r="BI24">
            <v>90480</v>
          </cell>
          <cell r="BJ24">
            <v>0</v>
          </cell>
          <cell r="BK24">
            <v>0</v>
          </cell>
          <cell r="BL24">
            <v>0</v>
          </cell>
          <cell r="BM24">
            <v>200</v>
          </cell>
          <cell r="BN24">
            <v>0</v>
          </cell>
          <cell r="BO24">
            <v>0</v>
          </cell>
          <cell r="BP24">
            <v>4562</v>
          </cell>
          <cell r="BQ24">
            <v>0</v>
          </cell>
          <cell r="BR24">
            <v>4562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4762</v>
          </cell>
          <cell r="CZ24">
            <v>85718</v>
          </cell>
          <cell r="DA24">
            <v>0</v>
          </cell>
          <cell r="DB24">
            <v>0</v>
          </cell>
          <cell r="DC24">
            <v>85718</v>
          </cell>
        </row>
        <row r="25">
          <cell r="A25" t="str">
            <v>FS201</v>
          </cell>
          <cell r="B25" t="str">
            <v xml:space="preserve">Brunda Desam </v>
          </cell>
          <cell r="C25" t="str">
            <v>Quality Engineering</v>
          </cell>
          <cell r="D25" t="str">
            <v>01-01-2022</v>
          </cell>
          <cell r="E25" t="str">
            <v>N.A</v>
          </cell>
          <cell r="F25" t="str">
            <v>2025-10</v>
          </cell>
          <cell r="G25" t="str">
            <v>Success</v>
          </cell>
          <cell r="H25" t="str">
            <v>N.A</v>
          </cell>
          <cell r="I25" t="str">
            <v/>
          </cell>
          <cell r="J25" t="str">
            <v>30</v>
          </cell>
          <cell r="K25" t="str">
            <v>0</v>
          </cell>
          <cell r="L25" t="str">
            <v>0</v>
          </cell>
          <cell r="M25" t="str">
            <v>N.A</v>
          </cell>
          <cell r="N25" t="str">
            <v>0</v>
          </cell>
          <cell r="O25" t="str">
            <v>0</v>
          </cell>
          <cell r="P25" t="str">
            <v>30</v>
          </cell>
          <cell r="Q25" t="str">
            <v>30</v>
          </cell>
          <cell r="R25" t="str">
            <v>Software development Engineer in test II (SDET-II)</v>
          </cell>
          <cell r="S25" t="str">
            <v>Delivery-IN</v>
          </cell>
          <cell r="T25" t="str">
            <v>Hyderabad</v>
          </cell>
          <cell r="U25" t="str">
            <v xml:space="preserve">Telangana </v>
          </cell>
          <cell r="V25" t="str">
            <v>50100558314184</v>
          </cell>
          <cell r="W25" t="str">
            <v>HDFC BANK</v>
          </cell>
          <cell r="X25" t="str">
            <v>90480</v>
          </cell>
          <cell r="Y25" t="str">
            <v>FQTPB3520G</v>
          </cell>
          <cell r="Z25" t="str">
            <v>38017</v>
          </cell>
          <cell r="AA25">
            <v>38017</v>
          </cell>
          <cell r="AB25">
            <v>0</v>
          </cell>
          <cell r="AC25">
            <v>15207</v>
          </cell>
          <cell r="AD25">
            <v>15207</v>
          </cell>
          <cell r="AE25">
            <v>0</v>
          </cell>
          <cell r="AF25">
            <v>4182</v>
          </cell>
          <cell r="AG25">
            <v>4182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9504</v>
          </cell>
          <cell r="AM25">
            <v>9504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23570</v>
          </cell>
          <cell r="AS25">
            <v>23570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 t="str">
            <v>0</v>
          </cell>
          <cell r="BF25">
            <v>0</v>
          </cell>
          <cell r="BG25">
            <v>0</v>
          </cell>
          <cell r="BH25">
            <v>90480</v>
          </cell>
          <cell r="BI25">
            <v>90480</v>
          </cell>
          <cell r="BJ25">
            <v>0</v>
          </cell>
          <cell r="BK25">
            <v>0</v>
          </cell>
          <cell r="BL25">
            <v>0</v>
          </cell>
          <cell r="BM25">
            <v>200</v>
          </cell>
          <cell r="BN25">
            <v>0</v>
          </cell>
          <cell r="BO25">
            <v>0</v>
          </cell>
          <cell r="BP25">
            <v>4562</v>
          </cell>
          <cell r="BQ25">
            <v>0</v>
          </cell>
          <cell r="BR25">
            <v>4562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4762</v>
          </cell>
          <cell r="CZ25">
            <v>85718</v>
          </cell>
          <cell r="DA25">
            <v>0</v>
          </cell>
          <cell r="DB25">
            <v>0</v>
          </cell>
          <cell r="DC25">
            <v>85718</v>
          </cell>
        </row>
        <row r="26">
          <cell r="A26" t="str">
            <v>FS212</v>
          </cell>
          <cell r="B26" t="str">
            <v xml:space="preserve">Kumaraswamy Sirikonda </v>
          </cell>
          <cell r="C26" t="str">
            <v>Product Engineering</v>
          </cell>
          <cell r="D26" t="str">
            <v>24-01-2022</v>
          </cell>
          <cell r="E26" t="str">
            <v>N.A</v>
          </cell>
          <cell r="F26" t="str">
            <v>2025-10</v>
          </cell>
          <cell r="G26" t="str">
            <v>Success</v>
          </cell>
          <cell r="H26" t="str">
            <v>N.A</v>
          </cell>
          <cell r="I26" t="str">
            <v/>
          </cell>
          <cell r="J26" t="str">
            <v>30</v>
          </cell>
          <cell r="K26" t="str">
            <v>0</v>
          </cell>
          <cell r="L26" t="str">
            <v>0</v>
          </cell>
          <cell r="M26" t="str">
            <v>N.A</v>
          </cell>
          <cell r="N26" t="str">
            <v>0</v>
          </cell>
          <cell r="O26" t="str">
            <v>0</v>
          </cell>
          <cell r="P26" t="str">
            <v>30</v>
          </cell>
          <cell r="Q26" t="str">
            <v>30</v>
          </cell>
          <cell r="R26" t="str">
            <v>Lead Software Engineer</v>
          </cell>
          <cell r="S26" t="str">
            <v>Product Engineering</v>
          </cell>
          <cell r="T26" t="str">
            <v>Hyderabad</v>
          </cell>
          <cell r="U26" t="str">
            <v xml:space="preserve">Telangana </v>
          </cell>
          <cell r="V26" t="str">
            <v>50100168094937</v>
          </cell>
          <cell r="W26" t="str">
            <v>HDFC BANK</v>
          </cell>
          <cell r="X26" t="str">
            <v>223972</v>
          </cell>
          <cell r="Y26" t="str">
            <v>GWBPS4603C</v>
          </cell>
          <cell r="Z26" t="str">
            <v>90309</v>
          </cell>
          <cell r="AA26">
            <v>90309</v>
          </cell>
          <cell r="AB26">
            <v>0</v>
          </cell>
          <cell r="AC26">
            <v>36123</v>
          </cell>
          <cell r="AD26">
            <v>36123</v>
          </cell>
          <cell r="AE26">
            <v>0</v>
          </cell>
          <cell r="AF26">
            <v>9934</v>
          </cell>
          <cell r="AG26">
            <v>9934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10000</v>
          </cell>
          <cell r="AM26">
            <v>10000</v>
          </cell>
          <cell r="AN26">
            <v>0</v>
          </cell>
          <cell r="AO26">
            <v>2200</v>
          </cell>
          <cell r="AP26">
            <v>2200</v>
          </cell>
          <cell r="AQ26">
            <v>0</v>
          </cell>
          <cell r="AR26">
            <v>75406</v>
          </cell>
          <cell r="AS26">
            <v>75406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 t="str">
            <v>0</v>
          </cell>
          <cell r="BF26">
            <v>0</v>
          </cell>
          <cell r="BG26">
            <v>0</v>
          </cell>
          <cell r="BH26">
            <v>223972</v>
          </cell>
          <cell r="BI26">
            <v>223972</v>
          </cell>
          <cell r="BJ26">
            <v>2200</v>
          </cell>
          <cell r="BK26">
            <v>0</v>
          </cell>
          <cell r="BL26">
            <v>31530</v>
          </cell>
          <cell r="BM26">
            <v>200</v>
          </cell>
          <cell r="BN26">
            <v>0</v>
          </cell>
          <cell r="BO26">
            <v>0</v>
          </cell>
          <cell r="BP26">
            <v>1800</v>
          </cell>
          <cell r="BQ26">
            <v>0</v>
          </cell>
          <cell r="BR26">
            <v>1800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>
            <v>35730</v>
          </cell>
          <cell r="CZ26">
            <v>188242</v>
          </cell>
          <cell r="DA26">
            <v>0</v>
          </cell>
          <cell r="DB26">
            <v>0</v>
          </cell>
          <cell r="DC26">
            <v>188242</v>
          </cell>
        </row>
        <row r="27">
          <cell r="A27" t="str">
            <v>FS220</v>
          </cell>
          <cell r="B27" t="str">
            <v>Errabelli Krishnachaithanya</v>
          </cell>
          <cell r="C27" t="str">
            <v>Talent Acquisition</v>
          </cell>
          <cell r="D27" t="str">
            <v>07-02-2022</v>
          </cell>
          <cell r="E27" t="str">
            <v>N.A</v>
          </cell>
          <cell r="F27" t="str">
            <v>2025-10</v>
          </cell>
          <cell r="G27" t="str">
            <v>Success</v>
          </cell>
          <cell r="H27" t="str">
            <v>N.A</v>
          </cell>
          <cell r="I27" t="str">
            <v/>
          </cell>
          <cell r="J27" t="str">
            <v>30</v>
          </cell>
          <cell r="K27" t="str">
            <v>0</v>
          </cell>
          <cell r="L27" t="str">
            <v>0</v>
          </cell>
          <cell r="M27" t="str">
            <v>N.A</v>
          </cell>
          <cell r="N27" t="str">
            <v>0</v>
          </cell>
          <cell r="O27" t="str">
            <v>0</v>
          </cell>
          <cell r="P27" t="str">
            <v>30</v>
          </cell>
          <cell r="Q27" t="str">
            <v>30</v>
          </cell>
          <cell r="R27" t="str">
            <v>Senior Executive- Talent Acquisition</v>
          </cell>
          <cell r="S27" t="str">
            <v>Recruitment-IN</v>
          </cell>
          <cell r="T27" t="str">
            <v>Hyderabad</v>
          </cell>
          <cell r="U27" t="str">
            <v xml:space="preserve">Telangana </v>
          </cell>
          <cell r="V27" t="str">
            <v>50100439139879</v>
          </cell>
          <cell r="W27" t="str">
            <v>HDFC BANK</v>
          </cell>
          <cell r="X27" t="str">
            <v>52800</v>
          </cell>
          <cell r="Y27" t="str">
            <v>JEZPK2785A</v>
          </cell>
          <cell r="Z27" t="str">
            <v>21840</v>
          </cell>
          <cell r="AA27">
            <v>21840</v>
          </cell>
          <cell r="AB27">
            <v>0</v>
          </cell>
          <cell r="AC27">
            <v>8736</v>
          </cell>
          <cell r="AD27">
            <v>8736</v>
          </cell>
          <cell r="AE27">
            <v>0</v>
          </cell>
          <cell r="AF27">
            <v>2402</v>
          </cell>
          <cell r="AG27">
            <v>2402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10000</v>
          </cell>
          <cell r="AM27">
            <v>10000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9822</v>
          </cell>
          <cell r="AS27">
            <v>9822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 t="str">
            <v>0</v>
          </cell>
          <cell r="BF27">
            <v>0</v>
          </cell>
          <cell r="BG27">
            <v>0</v>
          </cell>
          <cell r="BH27">
            <v>52800</v>
          </cell>
          <cell r="BI27">
            <v>52800</v>
          </cell>
          <cell r="BJ27">
            <v>0</v>
          </cell>
          <cell r="BK27">
            <v>0</v>
          </cell>
          <cell r="BL27">
            <v>0</v>
          </cell>
          <cell r="BM27">
            <v>200</v>
          </cell>
          <cell r="BN27">
            <v>0</v>
          </cell>
          <cell r="BO27">
            <v>0</v>
          </cell>
          <cell r="BP27">
            <v>1800</v>
          </cell>
          <cell r="BQ27">
            <v>0</v>
          </cell>
          <cell r="BR27">
            <v>1800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>
            <v>2000</v>
          </cell>
          <cell r="CZ27">
            <v>50800</v>
          </cell>
          <cell r="DA27">
            <v>0</v>
          </cell>
          <cell r="DB27">
            <v>0</v>
          </cell>
          <cell r="DC27">
            <v>50800</v>
          </cell>
        </row>
        <row r="28">
          <cell r="A28" t="str">
            <v>FS253</v>
          </cell>
          <cell r="B28" t="str">
            <v>Nidhi Chopra</v>
          </cell>
          <cell r="C28" t="str">
            <v>HR</v>
          </cell>
          <cell r="D28" t="str">
            <v>25-04-2022</v>
          </cell>
          <cell r="E28" t="str">
            <v>N.A</v>
          </cell>
          <cell r="F28" t="str">
            <v>2025-10</v>
          </cell>
          <cell r="G28" t="str">
            <v>Success</v>
          </cell>
          <cell r="H28" t="str">
            <v>N.A</v>
          </cell>
          <cell r="I28" t="str">
            <v/>
          </cell>
          <cell r="J28" t="str">
            <v>30</v>
          </cell>
          <cell r="K28" t="str">
            <v>0</v>
          </cell>
          <cell r="L28" t="str">
            <v>0</v>
          </cell>
          <cell r="M28" t="str">
            <v>N.A</v>
          </cell>
          <cell r="N28" t="str">
            <v>0</v>
          </cell>
          <cell r="O28" t="str">
            <v>0</v>
          </cell>
          <cell r="P28" t="str">
            <v>30</v>
          </cell>
          <cell r="Q28" t="str">
            <v>30</v>
          </cell>
          <cell r="R28" t="str">
            <v>Associate Manager -HR</v>
          </cell>
          <cell r="S28" t="str">
            <v>HR Ops-IN</v>
          </cell>
          <cell r="T28" t="str">
            <v>Hyderabad</v>
          </cell>
          <cell r="U28" t="str">
            <v xml:space="preserve">Telangana </v>
          </cell>
          <cell r="V28" t="str">
            <v>40970319820</v>
          </cell>
          <cell r="W28" t="str">
            <v>STATE BANK OF INDIA</v>
          </cell>
          <cell r="X28" t="str">
            <v>69536</v>
          </cell>
          <cell r="Y28" t="str">
            <v>ADFPC7783A</v>
          </cell>
          <cell r="Z28" t="str">
            <v>29217</v>
          </cell>
          <cell r="AA28">
            <v>29217</v>
          </cell>
          <cell r="AB28">
            <v>0</v>
          </cell>
          <cell r="AC28">
            <v>11687</v>
          </cell>
          <cell r="AD28">
            <v>11687</v>
          </cell>
          <cell r="AE28">
            <v>0</v>
          </cell>
          <cell r="AF28">
            <v>3214</v>
          </cell>
          <cell r="AG28">
            <v>3214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7304</v>
          </cell>
          <cell r="AM28">
            <v>7304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18114</v>
          </cell>
          <cell r="AS28">
            <v>18114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 t="str">
            <v>0</v>
          </cell>
          <cell r="BF28">
            <v>0</v>
          </cell>
          <cell r="BG28">
            <v>0</v>
          </cell>
          <cell r="BH28">
            <v>69536</v>
          </cell>
          <cell r="BI28">
            <v>69536</v>
          </cell>
          <cell r="BJ28">
            <v>0</v>
          </cell>
          <cell r="BK28">
            <v>0</v>
          </cell>
          <cell r="BL28">
            <v>0</v>
          </cell>
          <cell r="BM28">
            <v>200</v>
          </cell>
          <cell r="BN28">
            <v>0</v>
          </cell>
          <cell r="BO28">
            <v>0</v>
          </cell>
          <cell r="BP28">
            <v>3506</v>
          </cell>
          <cell r="BQ28">
            <v>0</v>
          </cell>
          <cell r="BR28">
            <v>3506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>
            <v>3706</v>
          </cell>
          <cell r="CZ28">
            <v>65830</v>
          </cell>
          <cell r="DA28">
            <v>0</v>
          </cell>
          <cell r="DB28">
            <v>0</v>
          </cell>
          <cell r="DC28">
            <v>65830</v>
          </cell>
        </row>
        <row r="29">
          <cell r="A29" t="str">
            <v>FS265</v>
          </cell>
          <cell r="B29" t="str">
            <v xml:space="preserve">Pushpa Bantroth </v>
          </cell>
          <cell r="C29" t="str">
            <v>Admin</v>
          </cell>
          <cell r="D29" t="str">
            <v>02-05-2022</v>
          </cell>
          <cell r="E29" t="str">
            <v>N.A</v>
          </cell>
          <cell r="F29" t="str">
            <v>2025-10</v>
          </cell>
          <cell r="G29" t="str">
            <v>Success</v>
          </cell>
          <cell r="H29" t="str">
            <v>N.A</v>
          </cell>
          <cell r="I29" t="str">
            <v/>
          </cell>
          <cell r="J29" t="str">
            <v>30</v>
          </cell>
          <cell r="K29" t="str">
            <v>0</v>
          </cell>
          <cell r="L29" t="str">
            <v>0</v>
          </cell>
          <cell r="M29" t="str">
            <v>N.A</v>
          </cell>
          <cell r="N29" t="str">
            <v>0</v>
          </cell>
          <cell r="O29" t="str">
            <v>0</v>
          </cell>
          <cell r="P29" t="str">
            <v>30</v>
          </cell>
          <cell r="Q29" t="str">
            <v>30</v>
          </cell>
          <cell r="R29" t="str">
            <v>Admin</v>
          </cell>
          <cell r="S29" t="str">
            <v>Office Operation-IN</v>
          </cell>
          <cell r="T29" t="str">
            <v>Hyderabad</v>
          </cell>
          <cell r="U29" t="str">
            <v xml:space="preserve">Telangana </v>
          </cell>
          <cell r="V29" t="str">
            <v>50100561253811</v>
          </cell>
          <cell r="W29" t="str">
            <v>HDFC BANK</v>
          </cell>
          <cell r="X29" t="str">
            <v>23500</v>
          </cell>
          <cell r="Y29" t="str">
            <v>DHAPP3519R</v>
          </cell>
          <cell r="Z29" t="str">
            <v>10120</v>
          </cell>
          <cell r="AA29">
            <v>10120</v>
          </cell>
          <cell r="AB29">
            <v>0</v>
          </cell>
          <cell r="AC29">
            <v>4048</v>
          </cell>
          <cell r="AD29">
            <v>4048</v>
          </cell>
          <cell r="AE29">
            <v>0</v>
          </cell>
          <cell r="AF29">
            <v>1113</v>
          </cell>
          <cell r="AG29">
            <v>1113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2530</v>
          </cell>
          <cell r="AM29">
            <v>2530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5689</v>
          </cell>
          <cell r="AS29">
            <v>5689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 t="str">
            <v>0</v>
          </cell>
          <cell r="BF29">
            <v>0</v>
          </cell>
          <cell r="BG29">
            <v>0</v>
          </cell>
          <cell r="BH29">
            <v>23500</v>
          </cell>
          <cell r="BI29">
            <v>23500</v>
          </cell>
          <cell r="BJ29">
            <v>0</v>
          </cell>
          <cell r="BK29">
            <v>0</v>
          </cell>
          <cell r="BL29">
            <v>0</v>
          </cell>
          <cell r="BM29">
            <v>200</v>
          </cell>
          <cell r="BN29">
            <v>0</v>
          </cell>
          <cell r="BO29">
            <v>0</v>
          </cell>
          <cell r="BP29">
            <v>1800</v>
          </cell>
          <cell r="BQ29">
            <v>0</v>
          </cell>
          <cell r="BR29">
            <v>1800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>
            <v>2000</v>
          </cell>
          <cell r="CZ29">
            <v>21500</v>
          </cell>
          <cell r="DA29">
            <v>0</v>
          </cell>
          <cell r="DB29">
            <v>0</v>
          </cell>
          <cell r="DC29">
            <v>21500</v>
          </cell>
        </row>
        <row r="30">
          <cell r="A30" t="str">
            <v>FS266</v>
          </cell>
          <cell r="B30" t="str">
            <v xml:space="preserve">Naresh Laxmipurpu </v>
          </cell>
          <cell r="C30" t="str">
            <v>Admin</v>
          </cell>
          <cell r="D30" t="str">
            <v>02-05-2022</v>
          </cell>
          <cell r="E30" t="str">
            <v>N.A</v>
          </cell>
          <cell r="F30" t="str">
            <v>2025-10</v>
          </cell>
          <cell r="G30" t="str">
            <v>Success</v>
          </cell>
          <cell r="H30" t="str">
            <v>N.A</v>
          </cell>
          <cell r="I30" t="str">
            <v/>
          </cell>
          <cell r="J30" t="str">
            <v>30</v>
          </cell>
          <cell r="K30" t="str">
            <v>0</v>
          </cell>
          <cell r="L30" t="str">
            <v>0</v>
          </cell>
          <cell r="M30" t="str">
            <v>N.A</v>
          </cell>
          <cell r="N30" t="str">
            <v>0</v>
          </cell>
          <cell r="O30" t="str">
            <v>0</v>
          </cell>
          <cell r="P30" t="str">
            <v>30</v>
          </cell>
          <cell r="Q30" t="str">
            <v>30</v>
          </cell>
          <cell r="R30" t="str">
            <v>Admin</v>
          </cell>
          <cell r="S30" t="str">
            <v>Office Operation-IN</v>
          </cell>
          <cell r="T30" t="str">
            <v>Hyderabad</v>
          </cell>
          <cell r="U30" t="str">
            <v xml:space="preserve">Telangana </v>
          </cell>
          <cell r="V30" t="str">
            <v>50100456735286</v>
          </cell>
          <cell r="W30" t="str">
            <v>HDFC BANK</v>
          </cell>
          <cell r="X30" t="str">
            <v>39600</v>
          </cell>
          <cell r="Y30" t="str">
            <v>AIUPL5725D</v>
          </cell>
          <cell r="Z30" t="str">
            <v>16560</v>
          </cell>
          <cell r="AA30">
            <v>16560</v>
          </cell>
          <cell r="AB30">
            <v>0</v>
          </cell>
          <cell r="AC30">
            <v>6624</v>
          </cell>
          <cell r="AD30">
            <v>6624</v>
          </cell>
          <cell r="AE30">
            <v>0</v>
          </cell>
          <cell r="AF30">
            <v>1822</v>
          </cell>
          <cell r="AG30">
            <v>1822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4140</v>
          </cell>
          <cell r="AM30">
            <v>4140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10454</v>
          </cell>
          <cell r="AS30">
            <v>10454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 t="str">
            <v>0</v>
          </cell>
          <cell r="BF30">
            <v>0</v>
          </cell>
          <cell r="BG30">
            <v>0</v>
          </cell>
          <cell r="BH30">
            <v>39600</v>
          </cell>
          <cell r="BI30">
            <v>39600</v>
          </cell>
          <cell r="BJ30">
            <v>0</v>
          </cell>
          <cell r="BK30">
            <v>0</v>
          </cell>
          <cell r="BL30">
            <v>0</v>
          </cell>
          <cell r="BM30">
            <v>200</v>
          </cell>
          <cell r="BN30">
            <v>0</v>
          </cell>
          <cell r="BO30">
            <v>0</v>
          </cell>
          <cell r="BP30">
            <v>1800</v>
          </cell>
          <cell r="BQ30">
            <v>0</v>
          </cell>
          <cell r="BR30">
            <v>1800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>
            <v>2000</v>
          </cell>
          <cell r="CZ30">
            <v>37600</v>
          </cell>
          <cell r="DA30">
            <v>0</v>
          </cell>
          <cell r="DB30">
            <v>0</v>
          </cell>
          <cell r="DC30">
            <v>37600</v>
          </cell>
        </row>
        <row r="31">
          <cell r="A31" t="str">
            <v>FS278</v>
          </cell>
          <cell r="B31" t="str">
            <v xml:space="preserve">Ravikiran Dumpa </v>
          </cell>
          <cell r="C31" t="str">
            <v>Data &amp; Insights</v>
          </cell>
          <cell r="D31" t="str">
            <v>30-06-2022</v>
          </cell>
          <cell r="E31" t="str">
            <v>N.A</v>
          </cell>
          <cell r="F31" t="str">
            <v>2025-10</v>
          </cell>
          <cell r="G31" t="str">
            <v>Success</v>
          </cell>
          <cell r="H31" t="str">
            <v>N.A</v>
          </cell>
          <cell r="I31" t="str">
            <v/>
          </cell>
          <cell r="J31" t="str">
            <v>30</v>
          </cell>
          <cell r="K31" t="str">
            <v>0</v>
          </cell>
          <cell r="L31" t="str">
            <v>0</v>
          </cell>
          <cell r="M31" t="str">
            <v>N.A</v>
          </cell>
          <cell r="N31" t="str">
            <v>0</v>
          </cell>
          <cell r="O31" t="str">
            <v>0</v>
          </cell>
          <cell r="P31" t="str">
            <v>30</v>
          </cell>
          <cell r="Q31" t="str">
            <v>30</v>
          </cell>
          <cell r="R31" t="str">
            <v>Associate architect</v>
          </cell>
          <cell r="S31" t="str">
            <v>Analytics Practice</v>
          </cell>
          <cell r="T31" t="str">
            <v>Hyderabad</v>
          </cell>
          <cell r="U31" t="str">
            <v xml:space="preserve">Telangana </v>
          </cell>
          <cell r="V31" t="str">
            <v>30574986685</v>
          </cell>
          <cell r="W31" t="str">
            <v>STATE BANK OF INDIA</v>
          </cell>
          <cell r="X31" t="str">
            <v>325046</v>
          </cell>
          <cell r="Y31" t="str">
            <v>AWYPD1976C</v>
          </cell>
          <cell r="Z31" t="str">
            <v>130738</v>
          </cell>
          <cell r="AA31">
            <v>130738</v>
          </cell>
          <cell r="AB31">
            <v>0</v>
          </cell>
          <cell r="AC31">
            <v>52295</v>
          </cell>
          <cell r="AD31">
            <v>52295</v>
          </cell>
          <cell r="AE31">
            <v>0</v>
          </cell>
          <cell r="AF31">
            <v>14381</v>
          </cell>
          <cell r="AG31">
            <v>14381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10000</v>
          </cell>
          <cell r="AM31">
            <v>10000</v>
          </cell>
          <cell r="AN31">
            <v>0</v>
          </cell>
          <cell r="AO31">
            <v>2200</v>
          </cell>
          <cell r="AP31">
            <v>2200</v>
          </cell>
          <cell r="AQ31">
            <v>0</v>
          </cell>
          <cell r="AR31">
            <v>115432</v>
          </cell>
          <cell r="AS31">
            <v>115432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 t="str">
            <v>0</v>
          </cell>
          <cell r="BF31">
            <v>0</v>
          </cell>
          <cell r="BG31">
            <v>0</v>
          </cell>
          <cell r="BH31">
            <v>325046</v>
          </cell>
          <cell r="BI31">
            <v>325046</v>
          </cell>
          <cell r="BJ31">
            <v>2200</v>
          </cell>
          <cell r="BK31">
            <v>0</v>
          </cell>
          <cell r="BL31">
            <v>63064</v>
          </cell>
          <cell r="BM31">
            <v>200</v>
          </cell>
          <cell r="BN31">
            <v>0</v>
          </cell>
          <cell r="BO31">
            <v>0</v>
          </cell>
          <cell r="BP31">
            <v>1800</v>
          </cell>
          <cell r="BQ31">
            <v>0</v>
          </cell>
          <cell r="BR31">
            <v>1800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>
            <v>67264</v>
          </cell>
          <cell r="CZ31">
            <v>257782</v>
          </cell>
          <cell r="DA31">
            <v>0</v>
          </cell>
          <cell r="DB31">
            <v>0</v>
          </cell>
          <cell r="DC31">
            <v>257782</v>
          </cell>
        </row>
        <row r="32">
          <cell r="A32" t="str">
            <v>FS285</v>
          </cell>
          <cell r="B32" t="str">
            <v xml:space="preserve">Gayathri Boggula </v>
          </cell>
          <cell r="C32" t="str">
            <v>Staffing</v>
          </cell>
          <cell r="D32" t="str">
            <v>14-07-2022</v>
          </cell>
          <cell r="E32" t="str">
            <v>N.A</v>
          </cell>
          <cell r="F32" t="str">
            <v>2025-10</v>
          </cell>
          <cell r="G32" t="str">
            <v>Success</v>
          </cell>
          <cell r="H32" t="str">
            <v>N.A</v>
          </cell>
          <cell r="I32" t="str">
            <v/>
          </cell>
          <cell r="J32" t="str">
            <v>30</v>
          </cell>
          <cell r="K32" t="str">
            <v>0</v>
          </cell>
          <cell r="L32" t="str">
            <v>0</v>
          </cell>
          <cell r="M32" t="str">
            <v>N.A</v>
          </cell>
          <cell r="N32" t="str">
            <v>0</v>
          </cell>
          <cell r="O32" t="str">
            <v>0</v>
          </cell>
          <cell r="P32" t="str">
            <v>30</v>
          </cell>
          <cell r="Q32" t="str">
            <v>30</v>
          </cell>
          <cell r="R32" t="str">
            <v>Senior Developer</v>
          </cell>
          <cell r="S32" t="str">
            <v>Staffing</v>
          </cell>
          <cell r="T32" t="str">
            <v>Hyderabad</v>
          </cell>
          <cell r="U32" t="str">
            <v xml:space="preserve">Telangana </v>
          </cell>
          <cell r="V32" t="str">
            <v>50100392811989</v>
          </cell>
          <cell r="W32" t="str">
            <v>HDFC BANK</v>
          </cell>
          <cell r="X32" t="str">
            <v>48251</v>
          </cell>
          <cell r="Y32" t="str">
            <v>BJBPG5470K</v>
          </cell>
          <cell r="Z32" t="str">
            <v>21450</v>
          </cell>
          <cell r="AA32">
            <v>21450</v>
          </cell>
          <cell r="AB32">
            <v>0</v>
          </cell>
          <cell r="AC32">
            <v>8580</v>
          </cell>
          <cell r="AD32">
            <v>8580</v>
          </cell>
          <cell r="AE32">
            <v>0</v>
          </cell>
          <cell r="AF32">
            <v>2360</v>
          </cell>
          <cell r="AG32">
            <v>2360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5363</v>
          </cell>
          <cell r="AM32">
            <v>5363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10498</v>
          </cell>
          <cell r="AS32">
            <v>10498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 t="str">
            <v>0</v>
          </cell>
          <cell r="BF32">
            <v>0</v>
          </cell>
          <cell r="BG32">
            <v>0</v>
          </cell>
          <cell r="BH32">
            <v>48251</v>
          </cell>
          <cell r="BI32">
            <v>48251</v>
          </cell>
          <cell r="BJ32">
            <v>0</v>
          </cell>
          <cell r="BK32">
            <v>0</v>
          </cell>
          <cell r="BL32">
            <v>0</v>
          </cell>
          <cell r="BM32">
            <v>200</v>
          </cell>
          <cell r="BN32">
            <v>0</v>
          </cell>
          <cell r="BO32">
            <v>0</v>
          </cell>
          <cell r="BP32">
            <v>1800</v>
          </cell>
          <cell r="BQ32">
            <v>0</v>
          </cell>
          <cell r="BR32">
            <v>1800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>
            <v>2000</v>
          </cell>
          <cell r="CZ32">
            <v>46251</v>
          </cell>
          <cell r="DA32">
            <v>0</v>
          </cell>
          <cell r="DB32">
            <v>0</v>
          </cell>
          <cell r="DC32">
            <v>46251</v>
          </cell>
        </row>
        <row r="33">
          <cell r="A33" t="str">
            <v>FS286</v>
          </cell>
          <cell r="B33" t="str">
            <v xml:space="preserve">Jayprakash Narani </v>
          </cell>
          <cell r="C33" t="str">
            <v>Staffing</v>
          </cell>
          <cell r="D33" t="str">
            <v>14-07-2022</v>
          </cell>
          <cell r="E33" t="str">
            <v>N.A</v>
          </cell>
          <cell r="F33" t="str">
            <v>2025-10</v>
          </cell>
          <cell r="G33" t="str">
            <v>Success</v>
          </cell>
          <cell r="H33" t="str">
            <v>N.A</v>
          </cell>
          <cell r="I33" t="str">
            <v/>
          </cell>
          <cell r="J33" t="str">
            <v>30</v>
          </cell>
          <cell r="K33" t="str">
            <v>0</v>
          </cell>
          <cell r="L33" t="str">
            <v>0</v>
          </cell>
          <cell r="M33" t="str">
            <v>N.A</v>
          </cell>
          <cell r="N33" t="str">
            <v>0</v>
          </cell>
          <cell r="O33" t="str">
            <v>0</v>
          </cell>
          <cell r="P33" t="str">
            <v>30</v>
          </cell>
          <cell r="Q33" t="str">
            <v>30</v>
          </cell>
          <cell r="R33" t="str">
            <v>Senior Developer</v>
          </cell>
          <cell r="S33" t="str">
            <v>Product Engineering</v>
          </cell>
          <cell r="T33" t="str">
            <v>Hyderabad</v>
          </cell>
          <cell r="U33" t="str">
            <v xml:space="preserve">Telangana </v>
          </cell>
          <cell r="V33" t="str">
            <v>20040643229</v>
          </cell>
          <cell r="W33" t="str">
            <v>STATE BANK OF INDIA</v>
          </cell>
          <cell r="X33" t="str">
            <v>70851</v>
          </cell>
          <cell r="Y33" t="str">
            <v>AFOPN2404E</v>
          </cell>
          <cell r="Z33" t="str">
            <v>30667</v>
          </cell>
          <cell r="AA33">
            <v>30667</v>
          </cell>
          <cell r="AB33">
            <v>0</v>
          </cell>
          <cell r="AC33">
            <v>12267</v>
          </cell>
          <cell r="AD33">
            <v>12267</v>
          </cell>
          <cell r="AE33">
            <v>0</v>
          </cell>
          <cell r="AF33">
            <v>3373</v>
          </cell>
          <cell r="AG33">
            <v>3373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7667</v>
          </cell>
          <cell r="AM33">
            <v>7667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16877</v>
          </cell>
          <cell r="AS33">
            <v>16877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 t="str">
            <v>0</v>
          </cell>
          <cell r="BF33">
            <v>0</v>
          </cell>
          <cell r="BG33">
            <v>0</v>
          </cell>
          <cell r="BH33">
            <v>70851</v>
          </cell>
          <cell r="BI33">
            <v>70851</v>
          </cell>
          <cell r="BJ33">
            <v>0</v>
          </cell>
          <cell r="BK33">
            <v>0</v>
          </cell>
          <cell r="BL33">
            <v>0</v>
          </cell>
          <cell r="BM33">
            <v>200</v>
          </cell>
          <cell r="BN33">
            <v>0</v>
          </cell>
          <cell r="BO33">
            <v>0</v>
          </cell>
          <cell r="BP33">
            <v>1800</v>
          </cell>
          <cell r="BQ33">
            <v>0</v>
          </cell>
          <cell r="BR33">
            <v>1800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>
            <v>2000</v>
          </cell>
          <cell r="CZ33">
            <v>68851</v>
          </cell>
          <cell r="DA33">
            <v>0</v>
          </cell>
          <cell r="DB33">
            <v>0</v>
          </cell>
          <cell r="DC33">
            <v>68851</v>
          </cell>
        </row>
        <row r="34">
          <cell r="A34" t="str">
            <v>FS291</v>
          </cell>
          <cell r="B34" t="str">
            <v xml:space="preserve">Sai Prasad Chikoti </v>
          </cell>
          <cell r="C34" t="str">
            <v>Product Engineering</v>
          </cell>
          <cell r="D34" t="str">
            <v>03-08-2022</v>
          </cell>
          <cell r="E34" t="str">
            <v>N.A</v>
          </cell>
          <cell r="F34" t="str">
            <v>2025-10</v>
          </cell>
          <cell r="G34" t="str">
            <v>Success</v>
          </cell>
          <cell r="H34" t="str">
            <v>N.A</v>
          </cell>
          <cell r="I34" t="str">
            <v/>
          </cell>
          <cell r="J34" t="str">
            <v>30</v>
          </cell>
          <cell r="K34" t="str">
            <v>0</v>
          </cell>
          <cell r="L34" t="str">
            <v>0</v>
          </cell>
          <cell r="M34" t="str">
            <v>N.A</v>
          </cell>
          <cell r="N34" t="str">
            <v>0</v>
          </cell>
          <cell r="O34" t="str">
            <v>0</v>
          </cell>
          <cell r="P34" t="str">
            <v>30</v>
          </cell>
          <cell r="Q34" t="str">
            <v>30</v>
          </cell>
          <cell r="R34" t="str">
            <v>Lead Software Engineer</v>
          </cell>
          <cell r="S34" t="str">
            <v>Product Engineering</v>
          </cell>
          <cell r="T34" t="str">
            <v>Hyderabad</v>
          </cell>
          <cell r="U34" t="str">
            <v xml:space="preserve">Telangana </v>
          </cell>
          <cell r="V34" t="str">
            <v>50100202943146</v>
          </cell>
          <cell r="W34" t="str">
            <v>HDFC BANK</v>
          </cell>
          <cell r="X34" t="str">
            <v>175039</v>
          </cell>
          <cell r="Y34" t="str">
            <v>BOFPC4956M</v>
          </cell>
          <cell r="Z34" t="str">
            <v>73546</v>
          </cell>
          <cell r="AA34">
            <v>73546</v>
          </cell>
          <cell r="AB34">
            <v>0</v>
          </cell>
          <cell r="AC34">
            <v>29418</v>
          </cell>
          <cell r="AD34">
            <v>29418</v>
          </cell>
          <cell r="AE34">
            <v>0</v>
          </cell>
          <cell r="AF34">
            <v>8090</v>
          </cell>
          <cell r="AG34">
            <v>8090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10000</v>
          </cell>
          <cell r="AM34">
            <v>10000</v>
          </cell>
          <cell r="AN34">
            <v>0</v>
          </cell>
          <cell r="AO34">
            <v>2200</v>
          </cell>
          <cell r="AP34">
            <v>2200</v>
          </cell>
          <cell r="AQ34">
            <v>0</v>
          </cell>
          <cell r="AR34">
            <v>51785</v>
          </cell>
          <cell r="AS34">
            <v>51785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 t="str">
            <v>0</v>
          </cell>
          <cell r="BF34">
            <v>0</v>
          </cell>
          <cell r="BG34">
            <v>0</v>
          </cell>
          <cell r="BH34">
            <v>175039</v>
          </cell>
          <cell r="BI34">
            <v>175039</v>
          </cell>
          <cell r="BJ34">
            <v>2200</v>
          </cell>
          <cell r="BK34">
            <v>0</v>
          </cell>
          <cell r="BL34">
            <v>23043</v>
          </cell>
          <cell r="BM34">
            <v>200</v>
          </cell>
          <cell r="BN34">
            <v>0</v>
          </cell>
          <cell r="BO34">
            <v>0</v>
          </cell>
          <cell r="BP34">
            <v>8826</v>
          </cell>
          <cell r="BQ34">
            <v>0</v>
          </cell>
          <cell r="BR34">
            <v>8826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>
            <v>34269</v>
          </cell>
          <cell r="CZ34">
            <v>140770</v>
          </cell>
          <cell r="DA34">
            <v>0</v>
          </cell>
          <cell r="DB34">
            <v>0</v>
          </cell>
          <cell r="DC34">
            <v>140770</v>
          </cell>
        </row>
        <row r="35">
          <cell r="A35" t="str">
            <v>FS293</v>
          </cell>
          <cell r="B35" t="str">
            <v>Raza Abbas</v>
          </cell>
          <cell r="C35" t="str">
            <v>Quality Engineering</v>
          </cell>
          <cell r="D35" t="str">
            <v>04-08-2022</v>
          </cell>
          <cell r="E35" t="str">
            <v>N.A</v>
          </cell>
          <cell r="F35" t="str">
            <v>2025-10</v>
          </cell>
          <cell r="G35" t="str">
            <v>Success</v>
          </cell>
          <cell r="H35" t="str">
            <v>N.A</v>
          </cell>
          <cell r="I35" t="str">
            <v/>
          </cell>
          <cell r="J35" t="str">
            <v>30</v>
          </cell>
          <cell r="K35" t="str">
            <v>0</v>
          </cell>
          <cell r="L35" t="str">
            <v>0</v>
          </cell>
          <cell r="M35" t="str">
            <v>N.A</v>
          </cell>
          <cell r="N35" t="str">
            <v>0</v>
          </cell>
          <cell r="O35" t="str">
            <v>0</v>
          </cell>
          <cell r="P35" t="str">
            <v>30</v>
          </cell>
          <cell r="Q35" t="str">
            <v>30</v>
          </cell>
          <cell r="R35" t="str">
            <v>QA Manager</v>
          </cell>
          <cell r="S35" t="str">
            <v>Delivery-IN</v>
          </cell>
          <cell r="T35" t="str">
            <v>Hyderabad</v>
          </cell>
          <cell r="U35" t="str">
            <v xml:space="preserve">Telangana </v>
          </cell>
          <cell r="V35" t="str">
            <v>11367767800</v>
          </cell>
          <cell r="W35" t="str">
            <v>STATE BANK OF INDIA</v>
          </cell>
          <cell r="X35" t="str">
            <v>164700</v>
          </cell>
          <cell r="Y35" t="str">
            <v>AGBPA9541R</v>
          </cell>
          <cell r="Z35" t="str">
            <v>66600</v>
          </cell>
          <cell r="AA35">
            <v>66600</v>
          </cell>
          <cell r="AB35">
            <v>0</v>
          </cell>
          <cell r="AC35">
            <v>26640</v>
          </cell>
          <cell r="AD35">
            <v>26640</v>
          </cell>
          <cell r="AE35">
            <v>0</v>
          </cell>
          <cell r="AF35">
            <v>7326</v>
          </cell>
          <cell r="AG35">
            <v>7326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10000</v>
          </cell>
          <cell r="AM35">
            <v>10000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54134</v>
          </cell>
          <cell r="AS35">
            <v>54134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 t="str">
            <v>0</v>
          </cell>
          <cell r="BF35">
            <v>0</v>
          </cell>
          <cell r="BG35">
            <v>0</v>
          </cell>
          <cell r="BH35">
            <v>164700</v>
          </cell>
          <cell r="BI35">
            <v>164700</v>
          </cell>
          <cell r="BJ35">
            <v>0</v>
          </cell>
          <cell r="BK35">
            <v>0</v>
          </cell>
          <cell r="BL35">
            <v>15625</v>
          </cell>
          <cell r="BM35">
            <v>200</v>
          </cell>
          <cell r="BN35">
            <v>0</v>
          </cell>
          <cell r="BO35">
            <v>0</v>
          </cell>
          <cell r="BP35">
            <v>1800</v>
          </cell>
          <cell r="BQ35">
            <v>0</v>
          </cell>
          <cell r="BR35">
            <v>1800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17625</v>
          </cell>
          <cell r="CZ35">
            <v>147075</v>
          </cell>
          <cell r="DA35">
            <v>0</v>
          </cell>
          <cell r="DB35">
            <v>0</v>
          </cell>
          <cell r="DC35">
            <v>147075</v>
          </cell>
        </row>
        <row r="36">
          <cell r="A36" t="str">
            <v>FS300</v>
          </cell>
          <cell r="B36" t="str">
            <v xml:space="preserve">Harshil Goolla </v>
          </cell>
          <cell r="C36" t="str">
            <v>Cloud</v>
          </cell>
          <cell r="D36" t="str">
            <v>18-08-2022</v>
          </cell>
          <cell r="E36" t="str">
            <v>N.A</v>
          </cell>
          <cell r="F36" t="str">
            <v>2025-10</v>
          </cell>
          <cell r="G36" t="str">
            <v>Success</v>
          </cell>
          <cell r="H36" t="str">
            <v>N.A</v>
          </cell>
          <cell r="I36" t="str">
            <v/>
          </cell>
          <cell r="J36" t="str">
            <v>30</v>
          </cell>
          <cell r="K36" t="str">
            <v>0</v>
          </cell>
          <cell r="L36" t="str">
            <v>0</v>
          </cell>
          <cell r="M36" t="str">
            <v>N.A</v>
          </cell>
          <cell r="N36" t="str">
            <v>0</v>
          </cell>
          <cell r="O36" t="str">
            <v>0</v>
          </cell>
          <cell r="P36" t="str">
            <v>30</v>
          </cell>
          <cell r="Q36" t="str">
            <v>30</v>
          </cell>
          <cell r="R36" t="str">
            <v>Lead Software Engineer</v>
          </cell>
          <cell r="S36" t="str">
            <v>Delivery-IN</v>
          </cell>
          <cell r="T36" t="str">
            <v>Hyderabad</v>
          </cell>
          <cell r="U36" t="str">
            <v xml:space="preserve">Telangana </v>
          </cell>
          <cell r="V36" t="str">
            <v>50100561253659</v>
          </cell>
          <cell r="W36" t="str">
            <v>HDFC BANK</v>
          </cell>
          <cell r="X36" t="str">
            <v>90480</v>
          </cell>
          <cell r="Y36" t="str">
            <v>BCKPH3509N</v>
          </cell>
          <cell r="Z36" t="str">
            <v>38017</v>
          </cell>
          <cell r="AA36">
            <v>38017</v>
          </cell>
          <cell r="AB36">
            <v>0</v>
          </cell>
          <cell r="AC36">
            <v>15207</v>
          </cell>
          <cell r="AD36">
            <v>15207</v>
          </cell>
          <cell r="AE36">
            <v>0</v>
          </cell>
          <cell r="AF36">
            <v>4182</v>
          </cell>
          <cell r="AG36">
            <v>4182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9504</v>
          </cell>
          <cell r="AM36">
            <v>9504</v>
          </cell>
          <cell r="AN36">
            <v>0</v>
          </cell>
          <cell r="AO36">
            <v>2200</v>
          </cell>
          <cell r="AP36">
            <v>2200</v>
          </cell>
          <cell r="AQ36">
            <v>0</v>
          </cell>
          <cell r="AR36">
            <v>21370</v>
          </cell>
          <cell r="AS36">
            <v>21370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 t="str">
            <v>0</v>
          </cell>
          <cell r="BF36">
            <v>0</v>
          </cell>
          <cell r="BG36">
            <v>0</v>
          </cell>
          <cell r="BH36">
            <v>90480</v>
          </cell>
          <cell r="BI36">
            <v>90480</v>
          </cell>
          <cell r="BJ36">
            <v>2200</v>
          </cell>
          <cell r="BK36">
            <v>0</v>
          </cell>
          <cell r="BL36">
            <v>0</v>
          </cell>
          <cell r="BM36">
            <v>200</v>
          </cell>
          <cell r="BN36">
            <v>0</v>
          </cell>
          <cell r="BO36">
            <v>0</v>
          </cell>
          <cell r="BP36">
            <v>4562</v>
          </cell>
          <cell r="BQ36">
            <v>0</v>
          </cell>
          <cell r="BR36">
            <v>4562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>
            <v>6962</v>
          </cell>
          <cell r="CZ36">
            <v>83518</v>
          </cell>
          <cell r="DA36">
            <v>0</v>
          </cell>
          <cell r="DB36">
            <v>0</v>
          </cell>
          <cell r="DC36">
            <v>83518</v>
          </cell>
        </row>
        <row r="37">
          <cell r="A37" t="str">
            <v>FS342</v>
          </cell>
          <cell r="B37" t="str">
            <v xml:space="preserve">Srikanth Ganivada </v>
          </cell>
          <cell r="C37" t="str">
            <v>Quality Engineering</v>
          </cell>
          <cell r="D37" t="str">
            <v>02-12-2022</v>
          </cell>
          <cell r="E37" t="str">
            <v>N.A</v>
          </cell>
          <cell r="F37" t="str">
            <v>2025-10</v>
          </cell>
          <cell r="G37" t="str">
            <v>Success</v>
          </cell>
          <cell r="H37" t="str">
            <v>N.A</v>
          </cell>
          <cell r="I37" t="str">
            <v/>
          </cell>
          <cell r="J37" t="str">
            <v>30</v>
          </cell>
          <cell r="K37" t="str">
            <v>0</v>
          </cell>
          <cell r="L37" t="str">
            <v>0</v>
          </cell>
          <cell r="M37" t="str">
            <v>N.A</v>
          </cell>
          <cell r="N37" t="str">
            <v>0</v>
          </cell>
          <cell r="O37" t="str">
            <v>0</v>
          </cell>
          <cell r="P37" t="str">
            <v>30</v>
          </cell>
          <cell r="Q37" t="str">
            <v>30</v>
          </cell>
          <cell r="R37" t="str">
            <v>QA Manager</v>
          </cell>
          <cell r="S37" t="str">
            <v>Delivery-IN</v>
          </cell>
          <cell r="T37" t="str">
            <v>Hyderabad</v>
          </cell>
          <cell r="U37" t="str">
            <v xml:space="preserve">Telangana </v>
          </cell>
          <cell r="V37" t="str">
            <v>50100565833375</v>
          </cell>
          <cell r="W37" t="str">
            <v>HDFC BANK</v>
          </cell>
          <cell r="X37" t="str">
            <v>183850</v>
          </cell>
          <cell r="Y37" t="str">
            <v>AJNPG6087H</v>
          </cell>
          <cell r="Z37" t="str">
            <v>74260</v>
          </cell>
          <cell r="AA37">
            <v>74260</v>
          </cell>
          <cell r="AB37">
            <v>0</v>
          </cell>
          <cell r="AC37">
            <v>29704</v>
          </cell>
          <cell r="AD37">
            <v>29704</v>
          </cell>
          <cell r="AE37">
            <v>0</v>
          </cell>
          <cell r="AF37">
            <v>8169</v>
          </cell>
          <cell r="AG37">
            <v>8169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10000</v>
          </cell>
          <cell r="AM37">
            <v>10000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61717</v>
          </cell>
          <cell r="AS37">
            <v>61717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 t="str">
            <v>0</v>
          </cell>
          <cell r="BF37">
            <v>0</v>
          </cell>
          <cell r="BG37">
            <v>0</v>
          </cell>
          <cell r="BH37">
            <v>183850</v>
          </cell>
          <cell r="BI37">
            <v>183850</v>
          </cell>
          <cell r="BJ37">
            <v>0</v>
          </cell>
          <cell r="BK37">
            <v>0</v>
          </cell>
          <cell r="BL37">
            <v>20176</v>
          </cell>
          <cell r="BM37">
            <v>200</v>
          </cell>
          <cell r="BN37">
            <v>0</v>
          </cell>
          <cell r="BO37">
            <v>0</v>
          </cell>
          <cell r="BP37">
            <v>1800</v>
          </cell>
          <cell r="BQ37">
            <v>0</v>
          </cell>
          <cell r="BR37">
            <v>1800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>
            <v>22176</v>
          </cell>
          <cell r="CZ37">
            <v>161674</v>
          </cell>
          <cell r="DA37">
            <v>0</v>
          </cell>
          <cell r="DB37">
            <v>0</v>
          </cell>
          <cell r="DC37">
            <v>161674</v>
          </cell>
        </row>
        <row r="38">
          <cell r="A38" t="str">
            <v>FS343</v>
          </cell>
          <cell r="B38" t="str">
            <v xml:space="preserve">Pramod Mahakud </v>
          </cell>
          <cell r="C38" t="str">
            <v>Admin</v>
          </cell>
          <cell r="D38" t="str">
            <v>01-12-2022</v>
          </cell>
          <cell r="E38" t="str">
            <v>N.A</v>
          </cell>
          <cell r="F38" t="str">
            <v>2025-10</v>
          </cell>
          <cell r="G38" t="str">
            <v>Success</v>
          </cell>
          <cell r="H38" t="str">
            <v>N.A</v>
          </cell>
          <cell r="I38" t="str">
            <v/>
          </cell>
          <cell r="J38" t="str">
            <v>30</v>
          </cell>
          <cell r="K38" t="str">
            <v>0</v>
          </cell>
          <cell r="L38" t="str">
            <v>0</v>
          </cell>
          <cell r="M38" t="str">
            <v>N.A</v>
          </cell>
          <cell r="N38" t="str">
            <v>0</v>
          </cell>
          <cell r="O38" t="str">
            <v>0</v>
          </cell>
          <cell r="P38" t="str">
            <v>30</v>
          </cell>
          <cell r="Q38" t="str">
            <v>30</v>
          </cell>
          <cell r="R38" t="str">
            <v>Office Assistant/Security</v>
          </cell>
          <cell r="S38" t="str">
            <v>Office Operation-IN</v>
          </cell>
          <cell r="T38" t="str">
            <v>Hyderabad</v>
          </cell>
          <cell r="U38" t="str">
            <v xml:space="preserve">Telangana </v>
          </cell>
          <cell r="V38" t="str">
            <v>50100099944288</v>
          </cell>
          <cell r="W38" t="str">
            <v>HDFC BANK</v>
          </cell>
          <cell r="X38" t="str">
            <v>33400</v>
          </cell>
          <cell r="Y38" t="str">
            <v>AXKPM6004B</v>
          </cell>
          <cell r="Z38" t="str">
            <v>14080</v>
          </cell>
          <cell r="AA38">
            <v>14080</v>
          </cell>
          <cell r="AB38">
            <v>0</v>
          </cell>
          <cell r="AC38">
            <v>5632</v>
          </cell>
          <cell r="AD38">
            <v>5632</v>
          </cell>
          <cell r="AE38">
            <v>0</v>
          </cell>
          <cell r="AF38">
            <v>1549</v>
          </cell>
          <cell r="AG38">
            <v>1549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3520</v>
          </cell>
          <cell r="AM38">
            <v>3520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8619</v>
          </cell>
          <cell r="AS38">
            <v>8619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 t="str">
            <v>0</v>
          </cell>
          <cell r="BF38">
            <v>0</v>
          </cell>
          <cell r="BG38">
            <v>0</v>
          </cell>
          <cell r="BH38">
            <v>33400</v>
          </cell>
          <cell r="BI38">
            <v>33400</v>
          </cell>
          <cell r="BJ38">
            <v>0</v>
          </cell>
          <cell r="BK38">
            <v>0</v>
          </cell>
          <cell r="BL38">
            <v>0</v>
          </cell>
          <cell r="BM38">
            <v>200</v>
          </cell>
          <cell r="BN38">
            <v>0</v>
          </cell>
          <cell r="BO38">
            <v>0</v>
          </cell>
          <cell r="BP38">
            <v>1800</v>
          </cell>
          <cell r="BQ38">
            <v>0</v>
          </cell>
          <cell r="BR38">
            <v>1800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>
            <v>2000</v>
          </cell>
          <cell r="CZ38">
            <v>31400</v>
          </cell>
          <cell r="DA38">
            <v>0</v>
          </cell>
          <cell r="DB38">
            <v>0</v>
          </cell>
          <cell r="DC38">
            <v>31400</v>
          </cell>
        </row>
        <row r="39">
          <cell r="A39" t="str">
            <v>FS345</v>
          </cell>
          <cell r="B39" t="str">
            <v>Nare Shashidhar</v>
          </cell>
          <cell r="C39" t="str">
            <v>Data &amp; Insights</v>
          </cell>
          <cell r="D39" t="str">
            <v>12-12-2022</v>
          </cell>
          <cell r="E39" t="str">
            <v>N.A</v>
          </cell>
          <cell r="F39" t="str">
            <v>2025-10</v>
          </cell>
          <cell r="G39" t="str">
            <v>Success</v>
          </cell>
          <cell r="H39" t="str">
            <v>N.A</v>
          </cell>
          <cell r="I39" t="str">
            <v/>
          </cell>
          <cell r="J39" t="str">
            <v>30</v>
          </cell>
          <cell r="K39" t="str">
            <v>0</v>
          </cell>
          <cell r="L39" t="str">
            <v>0</v>
          </cell>
          <cell r="M39" t="str">
            <v>N.A</v>
          </cell>
          <cell r="N39" t="str">
            <v>0</v>
          </cell>
          <cell r="O39" t="str">
            <v>0</v>
          </cell>
          <cell r="P39" t="str">
            <v>30</v>
          </cell>
          <cell r="Q39" t="str">
            <v>30</v>
          </cell>
          <cell r="R39" t="str">
            <v>Senior Technical Lead</v>
          </cell>
          <cell r="S39" t="str">
            <v>Analytics Practice</v>
          </cell>
          <cell r="T39" t="str">
            <v>Hyderabad</v>
          </cell>
          <cell r="U39" t="str">
            <v xml:space="preserve">Telangana </v>
          </cell>
          <cell r="V39" t="str">
            <v>50100145438351</v>
          </cell>
          <cell r="W39" t="str">
            <v>HDFC BANK</v>
          </cell>
          <cell r="X39" t="str">
            <v>193066</v>
          </cell>
          <cell r="Y39" t="str">
            <v>ASGPN1211Q</v>
          </cell>
          <cell r="Z39" t="str">
            <v>81120</v>
          </cell>
          <cell r="AA39">
            <v>81120</v>
          </cell>
          <cell r="AB39">
            <v>0</v>
          </cell>
          <cell r="AC39">
            <v>32448</v>
          </cell>
          <cell r="AD39">
            <v>32448</v>
          </cell>
          <cell r="AE39">
            <v>0</v>
          </cell>
          <cell r="AF39">
            <v>8923</v>
          </cell>
          <cell r="AG39">
            <v>8923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10000</v>
          </cell>
          <cell r="AM39">
            <v>10000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60575</v>
          </cell>
          <cell r="AS39">
            <v>60575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 t="str">
            <v>0</v>
          </cell>
          <cell r="BF39">
            <v>0</v>
          </cell>
          <cell r="BG39">
            <v>0</v>
          </cell>
          <cell r="BH39">
            <v>193066</v>
          </cell>
          <cell r="BI39">
            <v>193066</v>
          </cell>
          <cell r="BJ39">
            <v>0</v>
          </cell>
          <cell r="BK39">
            <v>0</v>
          </cell>
          <cell r="BL39">
            <v>22573</v>
          </cell>
          <cell r="BM39">
            <v>200</v>
          </cell>
          <cell r="BN39">
            <v>0</v>
          </cell>
          <cell r="BO39">
            <v>0</v>
          </cell>
          <cell r="BP39">
            <v>9734</v>
          </cell>
          <cell r="BQ39">
            <v>0</v>
          </cell>
          <cell r="BR39">
            <v>9734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>
            <v>32507</v>
          </cell>
          <cell r="CZ39">
            <v>160559</v>
          </cell>
          <cell r="DA39">
            <v>0</v>
          </cell>
          <cell r="DB39">
            <v>0</v>
          </cell>
          <cell r="DC39">
            <v>160559</v>
          </cell>
        </row>
        <row r="40">
          <cell r="A40" t="str">
            <v>FS349</v>
          </cell>
          <cell r="B40" t="str">
            <v xml:space="preserve">Venkata Ramana Rao Mahendrakar </v>
          </cell>
          <cell r="C40" t="str">
            <v>Product Engineering</v>
          </cell>
          <cell r="D40" t="str">
            <v>22-12-2022</v>
          </cell>
          <cell r="E40" t="str">
            <v>N.A</v>
          </cell>
          <cell r="F40" t="str">
            <v>2025-10</v>
          </cell>
          <cell r="G40" t="str">
            <v>Success</v>
          </cell>
          <cell r="H40" t="str">
            <v>N.A</v>
          </cell>
          <cell r="I40" t="str">
            <v/>
          </cell>
          <cell r="J40" t="str">
            <v>30</v>
          </cell>
          <cell r="K40" t="str">
            <v>0</v>
          </cell>
          <cell r="L40" t="str">
            <v>0</v>
          </cell>
          <cell r="M40" t="str">
            <v>N.A</v>
          </cell>
          <cell r="N40" t="str">
            <v>0</v>
          </cell>
          <cell r="O40" t="str">
            <v>0</v>
          </cell>
          <cell r="P40" t="str">
            <v>30</v>
          </cell>
          <cell r="Q40" t="str">
            <v>30</v>
          </cell>
          <cell r="R40" t="str">
            <v>Senior Technical Lead</v>
          </cell>
          <cell r="S40" t="str">
            <v>Delivery-IN</v>
          </cell>
          <cell r="T40" t="str">
            <v>Hyderabad</v>
          </cell>
          <cell r="U40" t="str">
            <v xml:space="preserve">Telangana </v>
          </cell>
          <cell r="V40" t="str">
            <v>50100286053321</v>
          </cell>
          <cell r="W40" t="str">
            <v>HDFC BANK</v>
          </cell>
          <cell r="X40" t="str">
            <v>343997</v>
          </cell>
          <cell r="Y40" t="str">
            <v>BNSPM0675D</v>
          </cell>
          <cell r="Z40" t="str">
            <v>138319</v>
          </cell>
          <cell r="AA40">
            <v>138319</v>
          </cell>
          <cell r="AB40">
            <v>0</v>
          </cell>
          <cell r="AC40">
            <v>55328</v>
          </cell>
          <cell r="AD40">
            <v>55328</v>
          </cell>
          <cell r="AE40">
            <v>0</v>
          </cell>
          <cell r="AF40">
            <v>15215</v>
          </cell>
          <cell r="AG40">
            <v>15215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10000</v>
          </cell>
          <cell r="AM40">
            <v>10000</v>
          </cell>
          <cell r="AN40">
            <v>0</v>
          </cell>
          <cell r="AO40">
            <v>2200</v>
          </cell>
          <cell r="AP40">
            <v>2200</v>
          </cell>
          <cell r="AQ40">
            <v>0</v>
          </cell>
          <cell r="AR40">
            <v>122935</v>
          </cell>
          <cell r="AS40">
            <v>122935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 t="str">
            <v>0</v>
          </cell>
          <cell r="BF40">
            <v>0</v>
          </cell>
          <cell r="BG40">
            <v>0</v>
          </cell>
          <cell r="BH40">
            <v>343997</v>
          </cell>
          <cell r="BI40">
            <v>343997</v>
          </cell>
          <cell r="BJ40">
            <v>2200</v>
          </cell>
          <cell r="BK40">
            <v>0</v>
          </cell>
          <cell r="BL40">
            <v>68977</v>
          </cell>
          <cell r="BM40">
            <v>200</v>
          </cell>
          <cell r="BN40">
            <v>0</v>
          </cell>
          <cell r="BO40">
            <v>0</v>
          </cell>
          <cell r="BP40">
            <v>1800</v>
          </cell>
          <cell r="BQ40">
            <v>0</v>
          </cell>
          <cell r="BR40">
            <v>1800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>
            <v>73177</v>
          </cell>
          <cell r="CZ40">
            <v>270820</v>
          </cell>
          <cell r="DA40">
            <v>0</v>
          </cell>
          <cell r="DB40">
            <v>0</v>
          </cell>
          <cell r="DC40">
            <v>270820</v>
          </cell>
        </row>
        <row r="41">
          <cell r="A41" t="str">
            <v>FS355</v>
          </cell>
          <cell r="B41" t="str">
            <v xml:space="preserve">Muraboina Chakravarthi </v>
          </cell>
          <cell r="C41" t="str">
            <v>Quality Engineering</v>
          </cell>
          <cell r="D41" t="str">
            <v>09-01-2023</v>
          </cell>
          <cell r="E41" t="str">
            <v>N.A</v>
          </cell>
          <cell r="F41" t="str">
            <v>2025-10</v>
          </cell>
          <cell r="G41" t="str">
            <v>Success</v>
          </cell>
          <cell r="H41" t="str">
            <v>N.A</v>
          </cell>
          <cell r="I41" t="str">
            <v/>
          </cell>
          <cell r="J41" t="str">
            <v>30</v>
          </cell>
          <cell r="K41" t="str">
            <v>0</v>
          </cell>
          <cell r="L41" t="str">
            <v>0</v>
          </cell>
          <cell r="M41" t="str">
            <v>N.A</v>
          </cell>
          <cell r="N41" t="str">
            <v>0</v>
          </cell>
          <cell r="O41" t="str">
            <v>0</v>
          </cell>
          <cell r="P41" t="str">
            <v>30</v>
          </cell>
          <cell r="Q41" t="str">
            <v>30</v>
          </cell>
          <cell r="R41" t="str">
            <v>Software Engineer I</v>
          </cell>
          <cell r="S41" t="str">
            <v>Delivery-IN</v>
          </cell>
          <cell r="T41" t="str">
            <v>Hyderabad</v>
          </cell>
          <cell r="U41" t="str">
            <v xml:space="preserve">Telangana </v>
          </cell>
          <cell r="V41" t="str">
            <v>50100581867619</v>
          </cell>
          <cell r="W41" t="str">
            <v>HDFC BANK</v>
          </cell>
          <cell r="X41" t="str">
            <v>44760</v>
          </cell>
          <cell r="Y41" t="str">
            <v>CMCPC2587C</v>
          </cell>
          <cell r="Z41" t="str">
            <v>18624</v>
          </cell>
          <cell r="AA41">
            <v>18624</v>
          </cell>
          <cell r="AB41">
            <v>0</v>
          </cell>
          <cell r="AC41">
            <v>7450</v>
          </cell>
          <cell r="AD41">
            <v>7450</v>
          </cell>
          <cell r="AE41">
            <v>0</v>
          </cell>
          <cell r="AF41">
            <v>2049</v>
          </cell>
          <cell r="AG41">
            <v>2049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4656</v>
          </cell>
          <cell r="AM41">
            <v>4656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11981</v>
          </cell>
          <cell r="AS41">
            <v>11981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 t="str">
            <v>0</v>
          </cell>
          <cell r="BF41">
            <v>0</v>
          </cell>
          <cell r="BG41">
            <v>0</v>
          </cell>
          <cell r="BH41">
            <v>44760</v>
          </cell>
          <cell r="BI41">
            <v>44760</v>
          </cell>
          <cell r="BJ41">
            <v>0</v>
          </cell>
          <cell r="BK41">
            <v>0</v>
          </cell>
          <cell r="BL41">
            <v>0</v>
          </cell>
          <cell r="BM41">
            <v>200</v>
          </cell>
          <cell r="BN41">
            <v>0</v>
          </cell>
          <cell r="BO41">
            <v>0</v>
          </cell>
          <cell r="BP41">
            <v>1800</v>
          </cell>
          <cell r="BQ41">
            <v>0</v>
          </cell>
          <cell r="BR41">
            <v>1800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>
            <v>2000</v>
          </cell>
          <cell r="CZ41">
            <v>42760</v>
          </cell>
          <cell r="DA41">
            <v>0</v>
          </cell>
          <cell r="DB41">
            <v>0</v>
          </cell>
          <cell r="DC41">
            <v>42760</v>
          </cell>
        </row>
        <row r="42">
          <cell r="A42" t="str">
            <v>FS356</v>
          </cell>
          <cell r="B42" t="str">
            <v>Bollu Ramana Reddy</v>
          </cell>
          <cell r="C42" t="str">
            <v>Cloud</v>
          </cell>
          <cell r="D42" t="str">
            <v>09-01-2023</v>
          </cell>
          <cell r="E42" t="str">
            <v>N.A</v>
          </cell>
          <cell r="F42" t="str">
            <v>2025-10</v>
          </cell>
          <cell r="G42" t="str">
            <v>Success</v>
          </cell>
          <cell r="H42" t="str">
            <v>N.A</v>
          </cell>
          <cell r="I42" t="str">
            <v/>
          </cell>
          <cell r="J42" t="str">
            <v>30</v>
          </cell>
          <cell r="K42" t="str">
            <v>0</v>
          </cell>
          <cell r="L42" t="str">
            <v>0</v>
          </cell>
          <cell r="M42" t="str">
            <v>N.A</v>
          </cell>
          <cell r="N42" t="str">
            <v>0</v>
          </cell>
          <cell r="O42" t="str">
            <v>0</v>
          </cell>
          <cell r="P42" t="str">
            <v>30</v>
          </cell>
          <cell r="Q42" t="str">
            <v>30</v>
          </cell>
          <cell r="R42" t="str">
            <v>Architect</v>
          </cell>
          <cell r="S42" t="str">
            <v>Delivery-IN</v>
          </cell>
          <cell r="T42" t="str">
            <v>Hyderabad</v>
          </cell>
          <cell r="U42" t="str">
            <v xml:space="preserve">Telangana </v>
          </cell>
          <cell r="V42" t="str">
            <v>50100212359496</v>
          </cell>
          <cell r="W42" t="str">
            <v>HDFC BANK</v>
          </cell>
          <cell r="X42" t="str">
            <v>337108</v>
          </cell>
          <cell r="Y42" t="str">
            <v>ANQPB0903J</v>
          </cell>
          <cell r="Z42" t="str">
            <v>127563</v>
          </cell>
          <cell r="AA42">
            <v>127563</v>
          </cell>
          <cell r="AB42">
            <v>0</v>
          </cell>
          <cell r="AC42">
            <v>51025</v>
          </cell>
          <cell r="AD42">
            <v>51025</v>
          </cell>
          <cell r="AE42">
            <v>0</v>
          </cell>
          <cell r="AF42">
            <v>14032</v>
          </cell>
          <cell r="AG42">
            <v>14032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10000</v>
          </cell>
          <cell r="AM42">
            <v>10000</v>
          </cell>
          <cell r="AN42">
            <v>0</v>
          </cell>
          <cell r="AO42">
            <v>2200</v>
          </cell>
          <cell r="AP42">
            <v>2200</v>
          </cell>
          <cell r="AQ42">
            <v>0</v>
          </cell>
          <cell r="AR42">
            <v>112288</v>
          </cell>
          <cell r="AS42">
            <v>112288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20000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 t="str">
            <v>0</v>
          </cell>
          <cell r="BF42">
            <v>0</v>
          </cell>
          <cell r="BG42">
            <v>20000</v>
          </cell>
          <cell r="BH42">
            <v>337108</v>
          </cell>
          <cell r="BI42">
            <v>337108</v>
          </cell>
          <cell r="BJ42">
            <v>2200</v>
          </cell>
          <cell r="BK42">
            <v>0</v>
          </cell>
          <cell r="BL42">
            <v>75033</v>
          </cell>
          <cell r="BM42">
            <v>200</v>
          </cell>
          <cell r="BN42">
            <v>0</v>
          </cell>
          <cell r="BO42">
            <v>0</v>
          </cell>
          <cell r="BP42">
            <v>1800</v>
          </cell>
          <cell r="BQ42">
            <v>0</v>
          </cell>
          <cell r="BR42">
            <v>1800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>
            <v>79233</v>
          </cell>
          <cell r="CZ42">
            <v>257875</v>
          </cell>
          <cell r="DA42">
            <v>0</v>
          </cell>
          <cell r="DB42">
            <v>0</v>
          </cell>
          <cell r="DC42">
            <v>257875</v>
          </cell>
        </row>
        <row r="43">
          <cell r="A43" t="str">
            <v>FS362</v>
          </cell>
          <cell r="B43" t="str">
            <v>GADEKARI KESAVA</v>
          </cell>
          <cell r="C43" t="str">
            <v>Cloud</v>
          </cell>
          <cell r="D43" t="str">
            <v>23-01-2023</v>
          </cell>
          <cell r="E43" t="str">
            <v>N.A</v>
          </cell>
          <cell r="F43" t="str">
            <v>2025-10</v>
          </cell>
          <cell r="G43" t="str">
            <v>Success</v>
          </cell>
          <cell r="H43" t="str">
            <v>N.A</v>
          </cell>
          <cell r="I43" t="str">
            <v/>
          </cell>
          <cell r="J43" t="str">
            <v>30</v>
          </cell>
          <cell r="K43" t="str">
            <v>0</v>
          </cell>
          <cell r="L43" t="str">
            <v>0</v>
          </cell>
          <cell r="M43" t="str">
            <v>N.A</v>
          </cell>
          <cell r="N43" t="str">
            <v>0</v>
          </cell>
          <cell r="O43" t="str">
            <v>0</v>
          </cell>
          <cell r="P43" t="str">
            <v>30</v>
          </cell>
          <cell r="Q43" t="str">
            <v>30</v>
          </cell>
          <cell r="R43" t="str">
            <v>Senior Developer AWS</v>
          </cell>
          <cell r="S43" t="str">
            <v>Delivery-IN</v>
          </cell>
          <cell r="T43" t="str">
            <v>Hyderabad</v>
          </cell>
          <cell r="U43" t="str">
            <v xml:space="preserve">Telangana </v>
          </cell>
          <cell r="V43" t="str">
            <v>50100573701435</v>
          </cell>
          <cell r="W43" t="str">
            <v>HDFC BANK</v>
          </cell>
          <cell r="X43" t="str">
            <v>260985</v>
          </cell>
          <cell r="Y43" t="str">
            <v>DGLPK1304M</v>
          </cell>
          <cell r="Z43" t="str">
            <v>97114</v>
          </cell>
          <cell r="AA43">
            <v>97114</v>
          </cell>
          <cell r="AB43">
            <v>0</v>
          </cell>
          <cell r="AC43">
            <v>38846</v>
          </cell>
          <cell r="AD43">
            <v>38846</v>
          </cell>
          <cell r="AE43">
            <v>0</v>
          </cell>
          <cell r="AF43">
            <v>10683</v>
          </cell>
          <cell r="AG43">
            <v>10683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10000</v>
          </cell>
          <cell r="AM43">
            <v>10000</v>
          </cell>
          <cell r="AN43">
            <v>0</v>
          </cell>
          <cell r="AO43">
            <v>2200</v>
          </cell>
          <cell r="AP43">
            <v>2200</v>
          </cell>
          <cell r="AQ43">
            <v>0</v>
          </cell>
          <cell r="AR43">
            <v>82142</v>
          </cell>
          <cell r="AS43">
            <v>82142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20000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 t="str">
            <v>0</v>
          </cell>
          <cell r="BF43">
            <v>0</v>
          </cell>
          <cell r="BG43">
            <v>20000</v>
          </cell>
          <cell r="BH43">
            <v>260985</v>
          </cell>
          <cell r="BI43">
            <v>260985</v>
          </cell>
          <cell r="BJ43">
            <v>2200</v>
          </cell>
          <cell r="BK43">
            <v>0</v>
          </cell>
          <cell r="BL43">
            <v>47803</v>
          </cell>
          <cell r="BM43">
            <v>200</v>
          </cell>
          <cell r="BN43">
            <v>0</v>
          </cell>
          <cell r="BO43">
            <v>0</v>
          </cell>
          <cell r="BP43">
            <v>1800</v>
          </cell>
          <cell r="BQ43">
            <v>0</v>
          </cell>
          <cell r="BR43">
            <v>1800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str">
            <v>0</v>
          </cell>
          <cell r="BZ43" t="str">
            <v>0</v>
          </cell>
          <cell r="CA43" t="str">
            <v>0</v>
          </cell>
          <cell r="CB43" t="str">
            <v>0</v>
          </cell>
          <cell r="CC43" t="str">
            <v>0</v>
          </cell>
          <cell r="CD43" t="str">
            <v>0</v>
          </cell>
          <cell r="CE43" t="str">
            <v>0</v>
          </cell>
          <cell r="CF43" t="str">
            <v>0</v>
          </cell>
          <cell r="CG43" t="str">
            <v>0</v>
          </cell>
          <cell r="CH43" t="str">
            <v>0</v>
          </cell>
          <cell r="CI43" t="str">
            <v>0</v>
          </cell>
          <cell r="CJ43" t="str">
            <v>0</v>
          </cell>
          <cell r="CK43" t="str">
            <v>0</v>
          </cell>
          <cell r="CL43" t="str">
            <v>0</v>
          </cell>
          <cell r="CM43" t="str">
            <v>0</v>
          </cell>
          <cell r="CN43" t="str">
            <v>0</v>
          </cell>
          <cell r="CO43" t="str">
            <v>0</v>
          </cell>
          <cell r="CP43" t="str">
            <v>0</v>
          </cell>
          <cell r="CQ43" t="str">
            <v>0</v>
          </cell>
          <cell r="CR43" t="str">
            <v>0</v>
          </cell>
          <cell r="CS43" t="str">
            <v>0</v>
          </cell>
          <cell r="CT43" t="str">
            <v>0</v>
          </cell>
          <cell r="CU43" t="str">
            <v>0</v>
          </cell>
          <cell r="CV43" t="str">
            <v>0</v>
          </cell>
          <cell r="CW43" t="str">
            <v>0</v>
          </cell>
          <cell r="CX43" t="str">
            <v>0</v>
          </cell>
          <cell r="CY43">
            <v>52003</v>
          </cell>
          <cell r="CZ43">
            <v>208982</v>
          </cell>
          <cell r="DA43">
            <v>0</v>
          </cell>
          <cell r="DB43">
            <v>0</v>
          </cell>
          <cell r="DC43">
            <v>208982</v>
          </cell>
        </row>
        <row r="44">
          <cell r="A44" t="str">
            <v>FS365</v>
          </cell>
          <cell r="B44" t="str">
            <v>Naga Ganesh Gunukula</v>
          </cell>
          <cell r="C44" t="str">
            <v>Internal IT</v>
          </cell>
          <cell r="D44" t="str">
            <v>30-01-2023</v>
          </cell>
          <cell r="E44" t="str">
            <v>N.A</v>
          </cell>
          <cell r="F44" t="str">
            <v>2025-10</v>
          </cell>
          <cell r="G44" t="str">
            <v>Success</v>
          </cell>
          <cell r="H44" t="str">
            <v>N.A</v>
          </cell>
          <cell r="I44" t="str">
            <v/>
          </cell>
          <cell r="J44" t="str">
            <v>30</v>
          </cell>
          <cell r="K44" t="str">
            <v>0</v>
          </cell>
          <cell r="L44" t="str">
            <v>0</v>
          </cell>
          <cell r="M44" t="str">
            <v>N.A</v>
          </cell>
          <cell r="N44" t="str">
            <v>0</v>
          </cell>
          <cell r="O44" t="str">
            <v>0</v>
          </cell>
          <cell r="P44" t="str">
            <v>30</v>
          </cell>
          <cell r="Q44" t="str">
            <v>30</v>
          </cell>
          <cell r="R44" t="str">
            <v>Manager- IT, Cloud &amp; Infra</v>
          </cell>
          <cell r="S44" t="str">
            <v>IT Ops-IN</v>
          </cell>
          <cell r="T44" t="str">
            <v>Hyderabad</v>
          </cell>
          <cell r="U44" t="str">
            <v xml:space="preserve">Telangana </v>
          </cell>
          <cell r="V44" t="str">
            <v>50100597824771</v>
          </cell>
          <cell r="W44" t="str">
            <v>HDFC BANK</v>
          </cell>
          <cell r="X44" t="str">
            <v>175698</v>
          </cell>
          <cell r="Y44" t="str">
            <v>AVAPG9521H</v>
          </cell>
          <cell r="Z44" t="str">
            <v>73823</v>
          </cell>
          <cell r="AA44">
            <v>73823</v>
          </cell>
          <cell r="AB44">
            <v>0</v>
          </cell>
          <cell r="AC44">
            <v>29529</v>
          </cell>
          <cell r="AD44">
            <v>29529</v>
          </cell>
          <cell r="AE44">
            <v>0</v>
          </cell>
          <cell r="AF44">
            <v>8121</v>
          </cell>
          <cell r="AG44">
            <v>8121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10000</v>
          </cell>
          <cell r="AM44">
            <v>10000</v>
          </cell>
          <cell r="AN44">
            <v>0</v>
          </cell>
          <cell r="AO44">
            <v>2200</v>
          </cell>
          <cell r="AP44">
            <v>2200</v>
          </cell>
          <cell r="AQ44">
            <v>0</v>
          </cell>
          <cell r="AR44">
            <v>52025</v>
          </cell>
          <cell r="AS44">
            <v>52025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 t="str">
            <v>0</v>
          </cell>
          <cell r="BF44">
            <v>0</v>
          </cell>
          <cell r="BG44">
            <v>0</v>
          </cell>
          <cell r="BH44">
            <v>175698</v>
          </cell>
          <cell r="BI44">
            <v>175698</v>
          </cell>
          <cell r="BJ44">
            <v>2200</v>
          </cell>
          <cell r="BK44">
            <v>0</v>
          </cell>
          <cell r="BL44">
            <v>21572</v>
          </cell>
          <cell r="BM44">
            <v>200</v>
          </cell>
          <cell r="BN44">
            <v>0</v>
          </cell>
          <cell r="BO44">
            <v>0</v>
          </cell>
          <cell r="BP44">
            <v>8859</v>
          </cell>
          <cell r="BQ44">
            <v>0</v>
          </cell>
          <cell r="BR44">
            <v>8859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str">
            <v>0</v>
          </cell>
          <cell r="BZ44" t="str">
            <v>0</v>
          </cell>
          <cell r="CA44" t="str">
            <v>0</v>
          </cell>
          <cell r="CB44" t="str">
            <v>0</v>
          </cell>
          <cell r="CC44" t="str">
            <v>0</v>
          </cell>
          <cell r="CD44" t="str">
            <v>0</v>
          </cell>
          <cell r="CE44" t="str">
            <v>0</v>
          </cell>
          <cell r="CF44" t="str">
            <v>0</v>
          </cell>
          <cell r="CG44" t="str">
            <v>0</v>
          </cell>
          <cell r="CH44" t="str">
            <v>0</v>
          </cell>
          <cell r="CI44" t="str">
            <v>0</v>
          </cell>
          <cell r="CJ44" t="str">
            <v>0</v>
          </cell>
          <cell r="CK44" t="str">
            <v>0</v>
          </cell>
          <cell r="CL44" t="str">
            <v>0</v>
          </cell>
          <cell r="CM44" t="str">
            <v>0</v>
          </cell>
          <cell r="CN44" t="str">
            <v>0</v>
          </cell>
          <cell r="CO44" t="str">
            <v>0</v>
          </cell>
          <cell r="CP44" t="str">
            <v>0</v>
          </cell>
          <cell r="CQ44" t="str">
            <v>0</v>
          </cell>
          <cell r="CR44" t="str">
            <v>0</v>
          </cell>
          <cell r="CS44" t="str">
            <v>0</v>
          </cell>
          <cell r="CT44" t="str">
            <v>0</v>
          </cell>
          <cell r="CU44" t="str">
            <v>0</v>
          </cell>
          <cell r="CV44" t="str">
            <v>0</v>
          </cell>
          <cell r="CW44" t="str">
            <v>0</v>
          </cell>
          <cell r="CX44" t="str">
            <v>0</v>
          </cell>
          <cell r="CY44">
            <v>32831</v>
          </cell>
          <cell r="CZ44">
            <v>142867</v>
          </cell>
          <cell r="DA44">
            <v>0</v>
          </cell>
          <cell r="DB44">
            <v>0</v>
          </cell>
          <cell r="DC44">
            <v>142867</v>
          </cell>
        </row>
        <row r="45">
          <cell r="A45" t="str">
            <v>FS366</v>
          </cell>
          <cell r="B45" t="str">
            <v xml:space="preserve">Krishnaiah Idindla </v>
          </cell>
          <cell r="C45" t="str">
            <v>Admin</v>
          </cell>
          <cell r="D45" t="str">
            <v>01-02-2023</v>
          </cell>
          <cell r="E45" t="str">
            <v>N.A</v>
          </cell>
          <cell r="F45" t="str">
            <v>2025-10</v>
          </cell>
          <cell r="G45" t="str">
            <v>Success</v>
          </cell>
          <cell r="H45" t="str">
            <v>N.A</v>
          </cell>
          <cell r="I45" t="str">
            <v/>
          </cell>
          <cell r="J45" t="str">
            <v>30</v>
          </cell>
          <cell r="K45" t="str">
            <v>0</v>
          </cell>
          <cell r="L45" t="str">
            <v>0</v>
          </cell>
          <cell r="M45" t="str">
            <v>N.A</v>
          </cell>
          <cell r="N45" t="str">
            <v>0</v>
          </cell>
          <cell r="O45" t="str">
            <v>0</v>
          </cell>
          <cell r="P45" t="str">
            <v>30</v>
          </cell>
          <cell r="Q45" t="str">
            <v>30</v>
          </cell>
          <cell r="R45" t="str">
            <v>Office assistant</v>
          </cell>
          <cell r="S45" t="str">
            <v>Office Operation-IN</v>
          </cell>
          <cell r="T45" t="str">
            <v>Hyderabad</v>
          </cell>
          <cell r="U45" t="str">
            <v xml:space="preserve">Telangana </v>
          </cell>
          <cell r="V45" t="str">
            <v>50100585460748</v>
          </cell>
          <cell r="W45" t="str">
            <v>HDFC BANK</v>
          </cell>
          <cell r="X45" t="str">
            <v>33400</v>
          </cell>
          <cell r="Y45" t="str">
            <v>ACIPI4379N</v>
          </cell>
          <cell r="Z45" t="str">
            <v>14080</v>
          </cell>
          <cell r="AA45">
            <v>14080</v>
          </cell>
          <cell r="AB45">
            <v>0</v>
          </cell>
          <cell r="AC45">
            <v>5632</v>
          </cell>
          <cell r="AD45">
            <v>5632</v>
          </cell>
          <cell r="AE45">
            <v>0</v>
          </cell>
          <cell r="AF45">
            <v>1549</v>
          </cell>
          <cell r="AG45">
            <v>1549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3520</v>
          </cell>
          <cell r="AM45">
            <v>3520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8619</v>
          </cell>
          <cell r="AS45">
            <v>8619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 t="str">
            <v>0</v>
          </cell>
          <cell r="BF45">
            <v>0</v>
          </cell>
          <cell r="BG45">
            <v>0</v>
          </cell>
          <cell r="BH45">
            <v>33400</v>
          </cell>
          <cell r="BI45">
            <v>33400</v>
          </cell>
          <cell r="BJ45">
            <v>0</v>
          </cell>
          <cell r="BK45">
            <v>0</v>
          </cell>
          <cell r="BL45">
            <v>0</v>
          </cell>
          <cell r="BM45">
            <v>200</v>
          </cell>
          <cell r="BN45">
            <v>0</v>
          </cell>
          <cell r="BO45">
            <v>0</v>
          </cell>
          <cell r="BP45">
            <v>1800</v>
          </cell>
          <cell r="BQ45">
            <v>0</v>
          </cell>
          <cell r="BR45">
            <v>1800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str">
            <v>0</v>
          </cell>
          <cell r="BZ45" t="str">
            <v>0</v>
          </cell>
          <cell r="CA45" t="str">
            <v>0</v>
          </cell>
          <cell r="CB45" t="str">
            <v>0</v>
          </cell>
          <cell r="CC45" t="str">
            <v>0</v>
          </cell>
          <cell r="CD45" t="str">
            <v>0</v>
          </cell>
          <cell r="CE45" t="str">
            <v>0</v>
          </cell>
          <cell r="CF45" t="str">
            <v>0</v>
          </cell>
          <cell r="CG45" t="str">
            <v>0</v>
          </cell>
          <cell r="CH45" t="str">
            <v>0</v>
          </cell>
          <cell r="CI45" t="str">
            <v>0</v>
          </cell>
          <cell r="CJ45" t="str">
            <v>0</v>
          </cell>
          <cell r="CK45" t="str">
            <v>0</v>
          </cell>
          <cell r="CL45" t="str">
            <v>0</v>
          </cell>
          <cell r="CM45" t="str">
            <v>0</v>
          </cell>
          <cell r="CN45" t="str">
            <v>0</v>
          </cell>
          <cell r="CO45" t="str">
            <v>0</v>
          </cell>
          <cell r="CP45" t="str">
            <v>0</v>
          </cell>
          <cell r="CQ45" t="str">
            <v>0</v>
          </cell>
          <cell r="CR45" t="str">
            <v>0</v>
          </cell>
          <cell r="CS45" t="str">
            <v>0</v>
          </cell>
          <cell r="CT45" t="str">
            <v>0</v>
          </cell>
          <cell r="CU45" t="str">
            <v>0</v>
          </cell>
          <cell r="CV45" t="str">
            <v>0</v>
          </cell>
          <cell r="CW45" t="str">
            <v>0</v>
          </cell>
          <cell r="CX45" t="str">
            <v>0</v>
          </cell>
          <cell r="CY45">
            <v>2000</v>
          </cell>
          <cell r="CZ45">
            <v>31400</v>
          </cell>
          <cell r="DA45">
            <v>0</v>
          </cell>
          <cell r="DB45">
            <v>0</v>
          </cell>
          <cell r="DC45">
            <v>31400</v>
          </cell>
        </row>
        <row r="46">
          <cell r="A46" t="str">
            <v>FS382</v>
          </cell>
          <cell r="B46" t="str">
            <v xml:space="preserve">Mohammad Rehan </v>
          </cell>
          <cell r="C46" t="str">
            <v>Talent Acquisition</v>
          </cell>
          <cell r="D46" t="str">
            <v>13-03-2023</v>
          </cell>
          <cell r="E46" t="str">
            <v>N.A</v>
          </cell>
          <cell r="F46" t="str">
            <v>2025-10</v>
          </cell>
          <cell r="G46" t="str">
            <v>Success</v>
          </cell>
          <cell r="H46" t="str">
            <v>N.A</v>
          </cell>
          <cell r="I46" t="str">
            <v/>
          </cell>
          <cell r="J46" t="str">
            <v>30</v>
          </cell>
          <cell r="K46" t="str">
            <v>0</v>
          </cell>
          <cell r="L46" t="str">
            <v>0</v>
          </cell>
          <cell r="M46" t="str">
            <v>N.A</v>
          </cell>
          <cell r="N46" t="str">
            <v>0</v>
          </cell>
          <cell r="O46" t="str">
            <v>0</v>
          </cell>
          <cell r="P46" t="str">
            <v>30</v>
          </cell>
          <cell r="Q46" t="str">
            <v>30</v>
          </cell>
          <cell r="R46" t="str">
            <v>Senior Technical Recruiter</v>
          </cell>
          <cell r="S46" t="str">
            <v>Recruitment-IN</v>
          </cell>
          <cell r="T46" t="str">
            <v>Hyderabad</v>
          </cell>
          <cell r="U46" t="str">
            <v xml:space="preserve">Telangana </v>
          </cell>
          <cell r="V46" t="str">
            <v>50100283387289</v>
          </cell>
          <cell r="W46" t="str">
            <v>HDFC BANK</v>
          </cell>
          <cell r="X46" t="str">
            <v>97250</v>
          </cell>
          <cell r="Y46" t="str">
            <v>BVSPR8610M</v>
          </cell>
          <cell r="Z46" t="str">
            <v>30420</v>
          </cell>
          <cell r="AA46">
            <v>30420</v>
          </cell>
          <cell r="AB46">
            <v>0</v>
          </cell>
          <cell r="AC46">
            <v>12168</v>
          </cell>
          <cell r="AD46">
            <v>12168</v>
          </cell>
          <cell r="AE46">
            <v>0</v>
          </cell>
          <cell r="AF46">
            <v>3346</v>
          </cell>
          <cell r="AG46">
            <v>3346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10000</v>
          </cell>
          <cell r="AM46">
            <v>10000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18316</v>
          </cell>
          <cell r="AS46">
            <v>18316</v>
          </cell>
          <cell r="AT46">
            <v>0</v>
          </cell>
          <cell r="AU46">
            <v>0</v>
          </cell>
          <cell r="AV46">
            <v>0</v>
          </cell>
          <cell r="AW46">
            <v>23000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 t="str">
            <v>0</v>
          </cell>
          <cell r="BF46">
            <v>0</v>
          </cell>
          <cell r="BG46">
            <v>23000</v>
          </cell>
          <cell r="BH46">
            <v>97250</v>
          </cell>
          <cell r="BI46">
            <v>97250</v>
          </cell>
          <cell r="BJ46">
            <v>0</v>
          </cell>
          <cell r="BK46">
            <v>0</v>
          </cell>
          <cell r="BL46">
            <v>0</v>
          </cell>
          <cell r="BM46">
            <v>200</v>
          </cell>
          <cell r="BN46">
            <v>0</v>
          </cell>
          <cell r="BO46">
            <v>0</v>
          </cell>
          <cell r="BP46">
            <v>1800</v>
          </cell>
          <cell r="BQ46">
            <v>0</v>
          </cell>
          <cell r="BR46">
            <v>1800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str">
            <v>0</v>
          </cell>
          <cell r="BZ46" t="str">
            <v>0</v>
          </cell>
          <cell r="CA46" t="str">
            <v>0</v>
          </cell>
          <cell r="CB46" t="str">
            <v>0</v>
          </cell>
          <cell r="CC46" t="str">
            <v>0</v>
          </cell>
          <cell r="CD46" t="str">
            <v>0</v>
          </cell>
          <cell r="CE46" t="str">
            <v>0</v>
          </cell>
          <cell r="CF46" t="str">
            <v>0</v>
          </cell>
          <cell r="CG46" t="str">
            <v>0</v>
          </cell>
          <cell r="CH46" t="str">
            <v>0</v>
          </cell>
          <cell r="CI46" t="str">
            <v>0</v>
          </cell>
          <cell r="CJ46" t="str">
            <v>0</v>
          </cell>
          <cell r="CK46" t="str">
            <v>0</v>
          </cell>
          <cell r="CL46" t="str">
            <v>0</v>
          </cell>
          <cell r="CM46" t="str">
            <v>0</v>
          </cell>
          <cell r="CN46" t="str">
            <v>0</v>
          </cell>
          <cell r="CO46" t="str">
            <v>0</v>
          </cell>
          <cell r="CP46" t="str">
            <v>0</v>
          </cell>
          <cell r="CQ46" t="str">
            <v>0</v>
          </cell>
          <cell r="CR46" t="str">
            <v>0</v>
          </cell>
          <cell r="CS46" t="str">
            <v>0</v>
          </cell>
          <cell r="CT46" t="str">
            <v>0</v>
          </cell>
          <cell r="CU46" t="str">
            <v>0</v>
          </cell>
          <cell r="CV46" t="str">
            <v>0</v>
          </cell>
          <cell r="CW46" t="str">
            <v>0</v>
          </cell>
          <cell r="CX46" t="str">
            <v>0</v>
          </cell>
          <cell r="CY46">
            <v>2000</v>
          </cell>
          <cell r="CZ46">
            <v>95250</v>
          </cell>
          <cell r="DA46">
            <v>0</v>
          </cell>
          <cell r="DB46">
            <v>0</v>
          </cell>
          <cell r="DC46">
            <v>95250</v>
          </cell>
        </row>
        <row r="47">
          <cell r="A47" t="str">
            <v>FS383</v>
          </cell>
          <cell r="B47" t="str">
            <v>Prajwal Edla</v>
          </cell>
          <cell r="C47" t="str">
            <v>Data &amp; Insights</v>
          </cell>
          <cell r="D47" t="str">
            <v>01-03-2023</v>
          </cell>
          <cell r="E47" t="str">
            <v>N.A</v>
          </cell>
          <cell r="F47" t="str">
            <v>2025-10</v>
          </cell>
          <cell r="G47" t="str">
            <v>Success</v>
          </cell>
          <cell r="H47" t="str">
            <v>N.A</v>
          </cell>
          <cell r="I47" t="str">
            <v/>
          </cell>
          <cell r="J47" t="str">
            <v>30</v>
          </cell>
          <cell r="K47" t="str">
            <v>0</v>
          </cell>
          <cell r="L47" t="str">
            <v>0</v>
          </cell>
          <cell r="M47" t="str">
            <v>N.A</v>
          </cell>
          <cell r="N47" t="str">
            <v>0</v>
          </cell>
          <cell r="O47" t="str">
            <v>0</v>
          </cell>
          <cell r="P47" t="str">
            <v>30</v>
          </cell>
          <cell r="Q47" t="str">
            <v>30</v>
          </cell>
          <cell r="R47" t="str">
            <v>Data Engineer - I</v>
          </cell>
          <cell r="S47" t="str">
            <v>Delivery-IN</v>
          </cell>
          <cell r="T47" t="str">
            <v>Hyderabad</v>
          </cell>
          <cell r="U47" t="str">
            <v xml:space="preserve">Telangana </v>
          </cell>
          <cell r="V47" t="str">
            <v>50100581868240</v>
          </cell>
          <cell r="W47" t="str">
            <v>HDFC BANK</v>
          </cell>
          <cell r="X47" t="str">
            <v>71931</v>
          </cell>
          <cell r="Y47" t="str">
            <v>ADJPE9582H</v>
          </cell>
          <cell r="Z47" t="str">
            <v>30223</v>
          </cell>
          <cell r="AA47">
            <v>30223</v>
          </cell>
          <cell r="AB47">
            <v>0</v>
          </cell>
          <cell r="AC47">
            <v>12089</v>
          </cell>
          <cell r="AD47">
            <v>12089</v>
          </cell>
          <cell r="AE47">
            <v>0</v>
          </cell>
          <cell r="AF47">
            <v>3325</v>
          </cell>
          <cell r="AG47">
            <v>3325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7556</v>
          </cell>
          <cell r="AM47">
            <v>7556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18738</v>
          </cell>
          <cell r="AS47">
            <v>18738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 t="str">
            <v>0</v>
          </cell>
          <cell r="BF47">
            <v>0</v>
          </cell>
          <cell r="BG47">
            <v>0</v>
          </cell>
          <cell r="BH47">
            <v>71931</v>
          </cell>
          <cell r="BI47">
            <v>71931</v>
          </cell>
          <cell r="BJ47">
            <v>0</v>
          </cell>
          <cell r="BK47">
            <v>0</v>
          </cell>
          <cell r="BL47">
            <v>0</v>
          </cell>
          <cell r="BM47">
            <v>200</v>
          </cell>
          <cell r="BN47">
            <v>0</v>
          </cell>
          <cell r="BO47">
            <v>0</v>
          </cell>
          <cell r="BP47">
            <v>3627</v>
          </cell>
          <cell r="BQ47">
            <v>0</v>
          </cell>
          <cell r="BR47">
            <v>3627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str">
            <v>0</v>
          </cell>
          <cell r="BZ47" t="str">
            <v>0</v>
          </cell>
          <cell r="CA47" t="str">
            <v>0</v>
          </cell>
          <cell r="CB47" t="str">
            <v>0</v>
          </cell>
          <cell r="CC47" t="str">
            <v>0</v>
          </cell>
          <cell r="CD47" t="str">
            <v>0</v>
          </cell>
          <cell r="CE47" t="str">
            <v>0</v>
          </cell>
          <cell r="CF47" t="str">
            <v>0</v>
          </cell>
          <cell r="CG47" t="str">
            <v>0</v>
          </cell>
          <cell r="CH47" t="str">
            <v>0</v>
          </cell>
          <cell r="CI47" t="str">
            <v>0</v>
          </cell>
          <cell r="CJ47" t="str">
            <v>0</v>
          </cell>
          <cell r="CK47" t="str">
            <v>0</v>
          </cell>
          <cell r="CL47" t="str">
            <v>0</v>
          </cell>
          <cell r="CM47" t="str">
            <v>0</v>
          </cell>
          <cell r="CN47" t="str">
            <v>0</v>
          </cell>
          <cell r="CO47" t="str">
            <v>0</v>
          </cell>
          <cell r="CP47" t="str">
            <v>0</v>
          </cell>
          <cell r="CQ47" t="str">
            <v>0</v>
          </cell>
          <cell r="CR47" t="str">
            <v>0</v>
          </cell>
          <cell r="CS47" t="str">
            <v>0</v>
          </cell>
          <cell r="CT47" t="str">
            <v>0</v>
          </cell>
          <cell r="CU47" t="str">
            <v>0</v>
          </cell>
          <cell r="CV47" t="str">
            <v>0</v>
          </cell>
          <cell r="CW47" t="str">
            <v>0</v>
          </cell>
          <cell r="CX47" t="str">
            <v>0</v>
          </cell>
          <cell r="CY47">
            <v>3827</v>
          </cell>
          <cell r="CZ47">
            <v>68104</v>
          </cell>
          <cell r="DA47">
            <v>0</v>
          </cell>
          <cell r="DB47">
            <v>0</v>
          </cell>
          <cell r="DC47">
            <v>68104</v>
          </cell>
        </row>
        <row r="48">
          <cell r="A48" t="str">
            <v>FS389</v>
          </cell>
          <cell r="B48" t="str">
            <v xml:space="preserve">Priyanka bandaru </v>
          </cell>
          <cell r="C48" t="str">
            <v>Quality Engineering</v>
          </cell>
          <cell r="D48" t="str">
            <v>03-04-2023</v>
          </cell>
          <cell r="E48" t="str">
            <v>N.A</v>
          </cell>
          <cell r="F48" t="str">
            <v>2025-10</v>
          </cell>
          <cell r="G48" t="str">
            <v>Success</v>
          </cell>
          <cell r="H48" t="str">
            <v>N.A</v>
          </cell>
          <cell r="I48" t="str">
            <v/>
          </cell>
          <cell r="J48" t="str">
            <v>30</v>
          </cell>
          <cell r="K48" t="str">
            <v>0</v>
          </cell>
          <cell r="L48" t="str">
            <v>0</v>
          </cell>
          <cell r="M48" t="str">
            <v>N.A</v>
          </cell>
          <cell r="N48" t="str">
            <v>0</v>
          </cell>
          <cell r="O48" t="str">
            <v>0</v>
          </cell>
          <cell r="P48" t="str">
            <v>30</v>
          </cell>
          <cell r="Q48" t="str">
            <v>30</v>
          </cell>
          <cell r="R48" t="str">
            <v>Software Development Engineer in Test - I</v>
          </cell>
          <cell r="S48" t="str">
            <v>Support Function-IN</v>
          </cell>
          <cell r="T48" t="str">
            <v>Hyderabad</v>
          </cell>
          <cell r="U48" t="str">
            <v xml:space="preserve">Telangana </v>
          </cell>
          <cell r="V48" t="str">
            <v>50100623632823</v>
          </cell>
          <cell r="W48" t="str">
            <v>HDFC BANK</v>
          </cell>
          <cell r="X48" t="str">
            <v>89345</v>
          </cell>
          <cell r="Y48" t="str">
            <v>GGGPP2068K</v>
          </cell>
          <cell r="Z48" t="str">
            <v>36458</v>
          </cell>
          <cell r="AA48">
            <v>36458</v>
          </cell>
          <cell r="AB48">
            <v>0</v>
          </cell>
          <cell r="AC48">
            <v>14583</v>
          </cell>
          <cell r="AD48">
            <v>14583</v>
          </cell>
          <cell r="AE48">
            <v>0</v>
          </cell>
          <cell r="AF48">
            <v>4010</v>
          </cell>
          <cell r="AG48">
            <v>4010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9115</v>
          </cell>
          <cell r="AM48">
            <v>9115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25179</v>
          </cell>
          <cell r="AS48">
            <v>25179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 t="str">
            <v>0</v>
          </cell>
          <cell r="BF48">
            <v>0</v>
          </cell>
          <cell r="BG48">
            <v>0</v>
          </cell>
          <cell r="BH48">
            <v>89345</v>
          </cell>
          <cell r="BI48">
            <v>89345</v>
          </cell>
          <cell r="BJ48">
            <v>0</v>
          </cell>
          <cell r="BK48">
            <v>0</v>
          </cell>
          <cell r="BL48">
            <v>0</v>
          </cell>
          <cell r="BM48">
            <v>200</v>
          </cell>
          <cell r="BN48">
            <v>0</v>
          </cell>
          <cell r="BO48">
            <v>0</v>
          </cell>
          <cell r="BP48">
            <v>1800</v>
          </cell>
          <cell r="BQ48">
            <v>0</v>
          </cell>
          <cell r="BR48">
            <v>1800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str">
            <v>0</v>
          </cell>
          <cell r="BZ48" t="str">
            <v>0</v>
          </cell>
          <cell r="CA48" t="str">
            <v>0</v>
          </cell>
          <cell r="CB48" t="str">
            <v>0</v>
          </cell>
          <cell r="CC48" t="str">
            <v>0</v>
          </cell>
          <cell r="CD48" t="str">
            <v>0</v>
          </cell>
          <cell r="CE48" t="str">
            <v>0</v>
          </cell>
          <cell r="CF48" t="str">
            <v>0</v>
          </cell>
          <cell r="CG48" t="str">
            <v>0</v>
          </cell>
          <cell r="CH48" t="str">
            <v>0</v>
          </cell>
          <cell r="CI48" t="str">
            <v>0</v>
          </cell>
          <cell r="CJ48" t="str">
            <v>0</v>
          </cell>
          <cell r="CK48" t="str">
            <v>0</v>
          </cell>
          <cell r="CL48" t="str">
            <v>0</v>
          </cell>
          <cell r="CM48" t="str">
            <v>0</v>
          </cell>
          <cell r="CN48" t="str">
            <v>0</v>
          </cell>
          <cell r="CO48" t="str">
            <v>0</v>
          </cell>
          <cell r="CP48" t="str">
            <v>0</v>
          </cell>
          <cell r="CQ48" t="str">
            <v>0</v>
          </cell>
          <cell r="CR48" t="str">
            <v>0</v>
          </cell>
          <cell r="CS48" t="str">
            <v>0</v>
          </cell>
          <cell r="CT48" t="str">
            <v>0</v>
          </cell>
          <cell r="CU48" t="str">
            <v>0</v>
          </cell>
          <cell r="CV48" t="str">
            <v>0</v>
          </cell>
          <cell r="CW48" t="str">
            <v>0</v>
          </cell>
          <cell r="CX48" t="str">
            <v>0</v>
          </cell>
          <cell r="CY48">
            <v>2000</v>
          </cell>
          <cell r="CZ48">
            <v>87345</v>
          </cell>
          <cell r="DA48">
            <v>0</v>
          </cell>
          <cell r="DB48">
            <v>0</v>
          </cell>
          <cell r="DC48">
            <v>87345</v>
          </cell>
        </row>
        <row r="49">
          <cell r="A49" t="str">
            <v>FS392</v>
          </cell>
          <cell r="B49" t="str">
            <v xml:space="preserve">Lavanya Gorrela </v>
          </cell>
          <cell r="C49" t="str">
            <v>Quality Engineering</v>
          </cell>
          <cell r="D49" t="str">
            <v>03-04-2023</v>
          </cell>
          <cell r="E49" t="str">
            <v>N.A</v>
          </cell>
          <cell r="F49" t="str">
            <v>2025-10</v>
          </cell>
          <cell r="G49" t="str">
            <v>Success</v>
          </cell>
          <cell r="H49" t="str">
            <v>N.A</v>
          </cell>
          <cell r="I49" t="str">
            <v/>
          </cell>
          <cell r="J49" t="str">
            <v>30</v>
          </cell>
          <cell r="K49" t="str">
            <v>0</v>
          </cell>
          <cell r="L49" t="str">
            <v>0</v>
          </cell>
          <cell r="M49" t="str">
            <v>N.A</v>
          </cell>
          <cell r="N49" t="str">
            <v>0</v>
          </cell>
          <cell r="O49" t="str">
            <v>0</v>
          </cell>
          <cell r="P49" t="str">
            <v>30</v>
          </cell>
          <cell r="Q49" t="str">
            <v>30</v>
          </cell>
          <cell r="R49" t="str">
            <v>Software Development Engineer in Test - I</v>
          </cell>
          <cell r="S49" t="str">
            <v>Support Function-IN</v>
          </cell>
          <cell r="T49" t="str">
            <v>Hyderabad</v>
          </cell>
          <cell r="U49" t="str">
            <v xml:space="preserve">Telangana </v>
          </cell>
          <cell r="V49" t="str">
            <v>50100465382161</v>
          </cell>
          <cell r="W49" t="str">
            <v>HDFC BANK</v>
          </cell>
          <cell r="X49" t="str">
            <v>65964</v>
          </cell>
          <cell r="Y49" t="str">
            <v>DCPPG7635P</v>
          </cell>
          <cell r="Z49" t="str">
            <v>27106</v>
          </cell>
          <cell r="AA49">
            <v>27106</v>
          </cell>
          <cell r="AB49">
            <v>0</v>
          </cell>
          <cell r="AC49">
            <v>10842</v>
          </cell>
          <cell r="AD49">
            <v>10842</v>
          </cell>
          <cell r="AE49">
            <v>0</v>
          </cell>
          <cell r="AF49">
            <v>2982</v>
          </cell>
          <cell r="AG49">
            <v>2982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6776</v>
          </cell>
          <cell r="AM49">
            <v>6776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18258</v>
          </cell>
          <cell r="AS49">
            <v>18258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 t="str">
            <v>0</v>
          </cell>
          <cell r="BF49">
            <v>0</v>
          </cell>
          <cell r="BG49">
            <v>0</v>
          </cell>
          <cell r="BH49">
            <v>65964</v>
          </cell>
          <cell r="BI49">
            <v>65964</v>
          </cell>
          <cell r="BJ49">
            <v>0</v>
          </cell>
          <cell r="BK49">
            <v>0</v>
          </cell>
          <cell r="BL49">
            <v>0</v>
          </cell>
          <cell r="BM49">
            <v>200</v>
          </cell>
          <cell r="BN49">
            <v>0</v>
          </cell>
          <cell r="BO49">
            <v>0</v>
          </cell>
          <cell r="BP49">
            <v>1800</v>
          </cell>
          <cell r="BQ49">
            <v>0</v>
          </cell>
          <cell r="BR49">
            <v>1800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str">
            <v>0</v>
          </cell>
          <cell r="BZ49" t="str">
            <v>0</v>
          </cell>
          <cell r="CA49" t="str">
            <v>0</v>
          </cell>
          <cell r="CB49" t="str">
            <v>0</v>
          </cell>
          <cell r="CC49" t="str">
            <v>0</v>
          </cell>
          <cell r="CD49" t="str">
            <v>0</v>
          </cell>
          <cell r="CE49" t="str">
            <v>0</v>
          </cell>
          <cell r="CF49" t="str">
            <v>0</v>
          </cell>
          <cell r="CG49" t="str">
            <v>0</v>
          </cell>
          <cell r="CH49" t="str">
            <v>0</v>
          </cell>
          <cell r="CI49" t="str">
            <v>0</v>
          </cell>
          <cell r="CJ49" t="str">
            <v>0</v>
          </cell>
          <cell r="CK49" t="str">
            <v>0</v>
          </cell>
          <cell r="CL49" t="str">
            <v>0</v>
          </cell>
          <cell r="CM49" t="str">
            <v>0</v>
          </cell>
          <cell r="CN49" t="str">
            <v>0</v>
          </cell>
          <cell r="CO49" t="str">
            <v>0</v>
          </cell>
          <cell r="CP49" t="str">
            <v>0</v>
          </cell>
          <cell r="CQ49" t="str">
            <v>0</v>
          </cell>
          <cell r="CR49" t="str">
            <v>0</v>
          </cell>
          <cell r="CS49" t="str">
            <v>0</v>
          </cell>
          <cell r="CT49" t="str">
            <v>0</v>
          </cell>
          <cell r="CU49" t="str">
            <v>0</v>
          </cell>
          <cell r="CV49" t="str">
            <v>0</v>
          </cell>
          <cell r="CW49" t="str">
            <v>0</v>
          </cell>
          <cell r="CX49" t="str">
            <v>0</v>
          </cell>
          <cell r="CY49">
            <v>2000</v>
          </cell>
          <cell r="CZ49">
            <v>63964</v>
          </cell>
          <cell r="DA49">
            <v>0</v>
          </cell>
          <cell r="DB49">
            <v>0</v>
          </cell>
          <cell r="DC49">
            <v>63964</v>
          </cell>
        </row>
        <row r="50">
          <cell r="A50" t="str">
            <v>FS397</v>
          </cell>
          <cell r="B50" t="str">
            <v>MANIKONDA SRAVANI</v>
          </cell>
          <cell r="C50" t="str">
            <v>Quality Engineering</v>
          </cell>
          <cell r="D50" t="str">
            <v>03-04-2023</v>
          </cell>
          <cell r="E50" t="str">
            <v>N.A</v>
          </cell>
          <cell r="F50" t="str">
            <v>2025-10</v>
          </cell>
          <cell r="G50" t="str">
            <v>Success</v>
          </cell>
          <cell r="H50" t="str">
            <v>N.A</v>
          </cell>
          <cell r="I50" t="str">
            <v/>
          </cell>
          <cell r="J50" t="str">
            <v>30</v>
          </cell>
          <cell r="K50" t="str">
            <v>0</v>
          </cell>
          <cell r="L50" t="str">
            <v>0</v>
          </cell>
          <cell r="M50" t="str">
            <v>N.A</v>
          </cell>
          <cell r="N50" t="str">
            <v>0</v>
          </cell>
          <cell r="O50" t="str">
            <v>0</v>
          </cell>
          <cell r="P50" t="str">
            <v>30</v>
          </cell>
          <cell r="Q50" t="str">
            <v>30</v>
          </cell>
          <cell r="R50" t="str">
            <v>Software Development Engineer in Test - I</v>
          </cell>
          <cell r="S50" t="str">
            <v>Support Function-IN</v>
          </cell>
          <cell r="T50" t="str">
            <v>Hyderabad</v>
          </cell>
          <cell r="U50" t="str">
            <v xml:space="preserve">Telangana </v>
          </cell>
          <cell r="V50" t="str">
            <v>50100465382122</v>
          </cell>
          <cell r="W50" t="str">
            <v>HDFC BANK</v>
          </cell>
          <cell r="X50" t="str">
            <v>65964</v>
          </cell>
          <cell r="Y50" t="str">
            <v>FCBPM4330P</v>
          </cell>
          <cell r="Z50" t="str">
            <v>27106</v>
          </cell>
          <cell r="AA50">
            <v>27106</v>
          </cell>
          <cell r="AB50">
            <v>0</v>
          </cell>
          <cell r="AC50">
            <v>10842</v>
          </cell>
          <cell r="AD50">
            <v>10842</v>
          </cell>
          <cell r="AE50">
            <v>0</v>
          </cell>
          <cell r="AF50">
            <v>2982</v>
          </cell>
          <cell r="AG50">
            <v>2982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6776</v>
          </cell>
          <cell r="AM50">
            <v>6776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18258</v>
          </cell>
          <cell r="AS50">
            <v>18258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 t="str">
            <v>0</v>
          </cell>
          <cell r="BF50">
            <v>0</v>
          </cell>
          <cell r="BG50">
            <v>0</v>
          </cell>
          <cell r="BH50">
            <v>65964</v>
          </cell>
          <cell r="BI50">
            <v>65964</v>
          </cell>
          <cell r="BJ50">
            <v>0</v>
          </cell>
          <cell r="BK50">
            <v>0</v>
          </cell>
          <cell r="BL50">
            <v>0</v>
          </cell>
          <cell r="BM50">
            <v>200</v>
          </cell>
          <cell r="BN50">
            <v>0</v>
          </cell>
          <cell r="BO50">
            <v>0</v>
          </cell>
          <cell r="BP50">
            <v>1800</v>
          </cell>
          <cell r="BQ50">
            <v>0</v>
          </cell>
          <cell r="BR50">
            <v>1800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str">
            <v>0</v>
          </cell>
          <cell r="BZ50" t="str">
            <v>0</v>
          </cell>
          <cell r="CA50" t="str">
            <v>0</v>
          </cell>
          <cell r="CB50" t="str">
            <v>0</v>
          </cell>
          <cell r="CC50" t="str">
            <v>0</v>
          </cell>
          <cell r="CD50" t="str">
            <v>0</v>
          </cell>
          <cell r="CE50" t="str">
            <v>0</v>
          </cell>
          <cell r="CF50" t="str">
            <v>0</v>
          </cell>
          <cell r="CG50" t="str">
            <v>0</v>
          </cell>
          <cell r="CH50" t="str">
            <v>0</v>
          </cell>
          <cell r="CI50" t="str">
            <v>0</v>
          </cell>
          <cell r="CJ50" t="str">
            <v>0</v>
          </cell>
          <cell r="CK50" t="str">
            <v>0</v>
          </cell>
          <cell r="CL50" t="str">
            <v>0</v>
          </cell>
          <cell r="CM50" t="str">
            <v>0</v>
          </cell>
          <cell r="CN50" t="str">
            <v>0</v>
          </cell>
          <cell r="CO50" t="str">
            <v>0</v>
          </cell>
          <cell r="CP50" t="str">
            <v>0</v>
          </cell>
          <cell r="CQ50" t="str">
            <v>0</v>
          </cell>
          <cell r="CR50" t="str">
            <v>0</v>
          </cell>
          <cell r="CS50" t="str">
            <v>0</v>
          </cell>
          <cell r="CT50" t="str">
            <v>0</v>
          </cell>
          <cell r="CU50" t="str">
            <v>0</v>
          </cell>
          <cell r="CV50" t="str">
            <v>0</v>
          </cell>
          <cell r="CW50" t="str">
            <v>0</v>
          </cell>
          <cell r="CX50" t="str">
            <v>0</v>
          </cell>
          <cell r="CY50">
            <v>2000</v>
          </cell>
          <cell r="CZ50">
            <v>63964</v>
          </cell>
          <cell r="DA50">
            <v>0</v>
          </cell>
          <cell r="DB50">
            <v>0</v>
          </cell>
          <cell r="DC50">
            <v>63964</v>
          </cell>
        </row>
        <row r="51">
          <cell r="A51" t="str">
            <v>FS398</v>
          </cell>
          <cell r="B51" t="str">
            <v xml:space="preserve">Majji UdayaKeerthi </v>
          </cell>
          <cell r="C51" t="str">
            <v>Quality Engineering</v>
          </cell>
          <cell r="D51" t="str">
            <v>03-04-2023</v>
          </cell>
          <cell r="E51" t="str">
            <v>N.A</v>
          </cell>
          <cell r="F51" t="str">
            <v>2025-10</v>
          </cell>
          <cell r="G51" t="str">
            <v>Success</v>
          </cell>
          <cell r="H51" t="str">
            <v>N.A</v>
          </cell>
          <cell r="I51" t="str">
            <v/>
          </cell>
          <cell r="J51" t="str">
            <v>30</v>
          </cell>
          <cell r="K51" t="str">
            <v>0</v>
          </cell>
          <cell r="L51" t="str">
            <v>0</v>
          </cell>
          <cell r="M51" t="str">
            <v>N.A</v>
          </cell>
          <cell r="N51" t="str">
            <v>0</v>
          </cell>
          <cell r="O51" t="str">
            <v>0</v>
          </cell>
          <cell r="P51" t="str">
            <v>30</v>
          </cell>
          <cell r="Q51" t="str">
            <v>30</v>
          </cell>
          <cell r="R51" t="str">
            <v>Software Development Engineer in Test - I</v>
          </cell>
          <cell r="S51" t="str">
            <v>Support Function-IN</v>
          </cell>
          <cell r="T51" t="str">
            <v>Hyderabad</v>
          </cell>
          <cell r="U51" t="str">
            <v xml:space="preserve">Telangana </v>
          </cell>
          <cell r="V51" t="str">
            <v>50100435139160</v>
          </cell>
          <cell r="W51" t="str">
            <v>HDFC BANK</v>
          </cell>
          <cell r="X51" t="str">
            <v>65964</v>
          </cell>
          <cell r="Y51" t="str">
            <v>LYBPK7779N</v>
          </cell>
          <cell r="Z51" t="str">
            <v>27106</v>
          </cell>
          <cell r="AA51">
            <v>27106</v>
          </cell>
          <cell r="AB51">
            <v>0</v>
          </cell>
          <cell r="AC51">
            <v>10842</v>
          </cell>
          <cell r="AD51">
            <v>10842</v>
          </cell>
          <cell r="AE51">
            <v>0</v>
          </cell>
          <cell r="AF51">
            <v>2982</v>
          </cell>
          <cell r="AG51">
            <v>2982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6776</v>
          </cell>
          <cell r="AM51">
            <v>6776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18258</v>
          </cell>
          <cell r="AS51">
            <v>18258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 t="str">
            <v>0</v>
          </cell>
          <cell r="BF51">
            <v>0</v>
          </cell>
          <cell r="BG51">
            <v>0</v>
          </cell>
          <cell r="BH51">
            <v>65964</v>
          </cell>
          <cell r="BI51">
            <v>65964</v>
          </cell>
          <cell r="BJ51">
            <v>0</v>
          </cell>
          <cell r="BK51">
            <v>0</v>
          </cell>
          <cell r="BL51">
            <v>0</v>
          </cell>
          <cell r="BM51">
            <v>200</v>
          </cell>
          <cell r="BN51">
            <v>0</v>
          </cell>
          <cell r="BO51">
            <v>0</v>
          </cell>
          <cell r="BP51">
            <v>1800</v>
          </cell>
          <cell r="BQ51">
            <v>0</v>
          </cell>
          <cell r="BR51">
            <v>1800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str">
            <v>0</v>
          </cell>
          <cell r="BZ51" t="str">
            <v>0</v>
          </cell>
          <cell r="CA51" t="str">
            <v>0</v>
          </cell>
          <cell r="CB51" t="str">
            <v>0</v>
          </cell>
          <cell r="CC51" t="str">
            <v>0</v>
          </cell>
          <cell r="CD51" t="str">
            <v>0</v>
          </cell>
          <cell r="CE51" t="str">
            <v>0</v>
          </cell>
          <cell r="CF51" t="str">
            <v>0</v>
          </cell>
          <cell r="CG51" t="str">
            <v>0</v>
          </cell>
          <cell r="CH51" t="str">
            <v>0</v>
          </cell>
          <cell r="CI51" t="str">
            <v>0</v>
          </cell>
          <cell r="CJ51" t="str">
            <v>0</v>
          </cell>
          <cell r="CK51" t="str">
            <v>0</v>
          </cell>
          <cell r="CL51" t="str">
            <v>0</v>
          </cell>
          <cell r="CM51" t="str">
            <v>0</v>
          </cell>
          <cell r="CN51" t="str">
            <v>0</v>
          </cell>
          <cell r="CO51" t="str">
            <v>0</v>
          </cell>
          <cell r="CP51" t="str">
            <v>0</v>
          </cell>
          <cell r="CQ51" t="str">
            <v>0</v>
          </cell>
          <cell r="CR51" t="str">
            <v>0</v>
          </cell>
          <cell r="CS51" t="str">
            <v>0</v>
          </cell>
          <cell r="CT51" t="str">
            <v>0</v>
          </cell>
          <cell r="CU51" t="str">
            <v>0</v>
          </cell>
          <cell r="CV51" t="str">
            <v>0</v>
          </cell>
          <cell r="CW51" t="str">
            <v>0</v>
          </cell>
          <cell r="CX51" t="str">
            <v>0</v>
          </cell>
          <cell r="CY51">
            <v>2000</v>
          </cell>
          <cell r="CZ51">
            <v>63964</v>
          </cell>
          <cell r="DA51">
            <v>0</v>
          </cell>
          <cell r="DB51">
            <v>0</v>
          </cell>
          <cell r="DC51">
            <v>63964</v>
          </cell>
        </row>
        <row r="52">
          <cell r="A52" t="str">
            <v>FS404</v>
          </cell>
          <cell r="B52" t="str">
            <v xml:space="preserve">Lakshmanarao Kodela </v>
          </cell>
          <cell r="C52" t="str">
            <v>Data &amp; Insights</v>
          </cell>
          <cell r="D52" t="str">
            <v>03-04-2023</v>
          </cell>
          <cell r="E52" t="str">
            <v>N.A</v>
          </cell>
          <cell r="F52" t="str">
            <v>2025-10</v>
          </cell>
          <cell r="G52" t="str">
            <v>Success</v>
          </cell>
          <cell r="H52" t="str">
            <v>N.A</v>
          </cell>
          <cell r="I52" t="str">
            <v/>
          </cell>
          <cell r="J52" t="str">
            <v>30</v>
          </cell>
          <cell r="K52" t="str">
            <v>0</v>
          </cell>
          <cell r="L52" t="str">
            <v>0</v>
          </cell>
          <cell r="M52" t="str">
            <v>N.A</v>
          </cell>
          <cell r="N52" t="str">
            <v>0</v>
          </cell>
          <cell r="O52" t="str">
            <v>0</v>
          </cell>
          <cell r="P52" t="str">
            <v>30</v>
          </cell>
          <cell r="Q52" t="str">
            <v>30</v>
          </cell>
          <cell r="R52" t="str">
            <v>Data Engineer - I</v>
          </cell>
          <cell r="S52" t="str">
            <v>Delivery-IN</v>
          </cell>
          <cell r="T52" t="str">
            <v>Hyderabad</v>
          </cell>
          <cell r="U52" t="str">
            <v xml:space="preserve">Telangana </v>
          </cell>
          <cell r="V52" t="str">
            <v>50100467103426</v>
          </cell>
          <cell r="W52" t="str">
            <v>HDFC BANK</v>
          </cell>
          <cell r="X52" t="str">
            <v>93242</v>
          </cell>
          <cell r="Y52" t="str">
            <v>BOQPL1690J</v>
          </cell>
          <cell r="Z52" t="str">
            <v>38017</v>
          </cell>
          <cell r="AA52">
            <v>38017</v>
          </cell>
          <cell r="AB52">
            <v>0</v>
          </cell>
          <cell r="AC52">
            <v>15207</v>
          </cell>
          <cell r="AD52">
            <v>15207</v>
          </cell>
          <cell r="AE52">
            <v>0</v>
          </cell>
          <cell r="AF52">
            <v>4182</v>
          </cell>
          <cell r="AG52">
            <v>4182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9504</v>
          </cell>
          <cell r="AM52">
            <v>9504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26332</v>
          </cell>
          <cell r="AS52">
            <v>26332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 t="str">
            <v>0</v>
          </cell>
          <cell r="BF52">
            <v>0</v>
          </cell>
          <cell r="BG52">
            <v>0</v>
          </cell>
          <cell r="BH52">
            <v>93242</v>
          </cell>
          <cell r="BI52">
            <v>93242</v>
          </cell>
          <cell r="BJ52">
            <v>0</v>
          </cell>
          <cell r="BK52">
            <v>0</v>
          </cell>
          <cell r="BL52">
            <v>0</v>
          </cell>
          <cell r="BM52">
            <v>200</v>
          </cell>
          <cell r="BN52">
            <v>0</v>
          </cell>
          <cell r="BO52">
            <v>0</v>
          </cell>
          <cell r="BP52">
            <v>1800</v>
          </cell>
          <cell r="BQ52">
            <v>0</v>
          </cell>
          <cell r="BR52">
            <v>1800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str">
            <v>0</v>
          </cell>
          <cell r="BZ52" t="str">
            <v>0</v>
          </cell>
          <cell r="CA52" t="str">
            <v>0</v>
          </cell>
          <cell r="CB52" t="str">
            <v>0</v>
          </cell>
          <cell r="CC52" t="str">
            <v>0</v>
          </cell>
          <cell r="CD52" t="str">
            <v>0</v>
          </cell>
          <cell r="CE52" t="str">
            <v>0</v>
          </cell>
          <cell r="CF52" t="str">
            <v>0</v>
          </cell>
          <cell r="CG52" t="str">
            <v>0</v>
          </cell>
          <cell r="CH52" t="str">
            <v>0</v>
          </cell>
          <cell r="CI52" t="str">
            <v>0</v>
          </cell>
          <cell r="CJ52" t="str">
            <v>0</v>
          </cell>
          <cell r="CK52" t="str">
            <v>0</v>
          </cell>
          <cell r="CL52" t="str">
            <v>0</v>
          </cell>
          <cell r="CM52" t="str">
            <v>0</v>
          </cell>
          <cell r="CN52" t="str">
            <v>0</v>
          </cell>
          <cell r="CO52" t="str">
            <v>0</v>
          </cell>
          <cell r="CP52" t="str">
            <v>0</v>
          </cell>
          <cell r="CQ52" t="str">
            <v>0</v>
          </cell>
          <cell r="CR52" t="str">
            <v>0</v>
          </cell>
          <cell r="CS52" t="str">
            <v>0</v>
          </cell>
          <cell r="CT52" t="str">
            <v>0</v>
          </cell>
          <cell r="CU52" t="str">
            <v>0</v>
          </cell>
          <cell r="CV52" t="str">
            <v>0</v>
          </cell>
          <cell r="CW52" t="str">
            <v>0</v>
          </cell>
          <cell r="CX52" t="str">
            <v>0</v>
          </cell>
          <cell r="CY52">
            <v>2000</v>
          </cell>
          <cell r="CZ52">
            <v>91242</v>
          </cell>
          <cell r="DA52">
            <v>0</v>
          </cell>
          <cell r="DB52">
            <v>0</v>
          </cell>
          <cell r="DC52">
            <v>91242</v>
          </cell>
        </row>
        <row r="53">
          <cell r="A53" t="str">
            <v>FS406</v>
          </cell>
          <cell r="B53" t="str">
            <v xml:space="preserve">Ramesh Ganamana </v>
          </cell>
          <cell r="C53" t="str">
            <v>Quality Engineering</v>
          </cell>
          <cell r="D53" t="str">
            <v>03-04-2023</v>
          </cell>
          <cell r="E53" t="str">
            <v>N.A</v>
          </cell>
          <cell r="F53" t="str">
            <v>2025-10</v>
          </cell>
          <cell r="G53" t="str">
            <v>Success</v>
          </cell>
          <cell r="H53" t="str">
            <v>N.A</v>
          </cell>
          <cell r="I53" t="str">
            <v/>
          </cell>
          <cell r="J53" t="str">
            <v>30</v>
          </cell>
          <cell r="K53" t="str">
            <v>0</v>
          </cell>
          <cell r="L53" t="str">
            <v>0</v>
          </cell>
          <cell r="M53" t="str">
            <v>N.A</v>
          </cell>
          <cell r="N53" t="str">
            <v>0</v>
          </cell>
          <cell r="O53" t="str">
            <v>0</v>
          </cell>
          <cell r="P53" t="str">
            <v>30</v>
          </cell>
          <cell r="Q53" t="str">
            <v>30</v>
          </cell>
          <cell r="R53" t="str">
            <v>Software Development Engineer in Test - I</v>
          </cell>
          <cell r="S53" t="str">
            <v>Support Function-IN</v>
          </cell>
          <cell r="T53" t="str">
            <v>Hyderabad</v>
          </cell>
          <cell r="U53" t="str">
            <v xml:space="preserve">Telangana </v>
          </cell>
          <cell r="V53" t="str">
            <v>50100467103287</v>
          </cell>
          <cell r="W53" t="str">
            <v>HDFC BANK</v>
          </cell>
          <cell r="X53" t="str">
            <v>73758</v>
          </cell>
          <cell r="Y53" t="str">
            <v>DCOPG6598A</v>
          </cell>
          <cell r="Z53" t="str">
            <v>30223</v>
          </cell>
          <cell r="AA53">
            <v>30223</v>
          </cell>
          <cell r="AB53">
            <v>0</v>
          </cell>
          <cell r="AC53">
            <v>12089</v>
          </cell>
          <cell r="AD53">
            <v>12089</v>
          </cell>
          <cell r="AE53">
            <v>0</v>
          </cell>
          <cell r="AF53">
            <v>3325</v>
          </cell>
          <cell r="AG53">
            <v>3325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7556</v>
          </cell>
          <cell r="AM53">
            <v>7556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20565</v>
          </cell>
          <cell r="AS53">
            <v>20565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 t="str">
            <v>0</v>
          </cell>
          <cell r="BF53">
            <v>0</v>
          </cell>
          <cell r="BG53">
            <v>0</v>
          </cell>
          <cell r="BH53">
            <v>73758</v>
          </cell>
          <cell r="BI53">
            <v>73758</v>
          </cell>
          <cell r="BJ53">
            <v>0</v>
          </cell>
          <cell r="BK53">
            <v>0</v>
          </cell>
          <cell r="BL53">
            <v>0</v>
          </cell>
          <cell r="BM53">
            <v>200</v>
          </cell>
          <cell r="BN53">
            <v>0</v>
          </cell>
          <cell r="BO53">
            <v>0</v>
          </cell>
          <cell r="BP53">
            <v>1800</v>
          </cell>
          <cell r="BQ53">
            <v>0</v>
          </cell>
          <cell r="BR53">
            <v>1800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str">
            <v>0</v>
          </cell>
          <cell r="BZ53" t="str">
            <v>0</v>
          </cell>
          <cell r="CA53" t="str">
            <v>0</v>
          </cell>
          <cell r="CB53" t="str">
            <v>0</v>
          </cell>
          <cell r="CC53" t="str">
            <v>0</v>
          </cell>
          <cell r="CD53" t="str">
            <v>0</v>
          </cell>
          <cell r="CE53" t="str">
            <v>0</v>
          </cell>
          <cell r="CF53" t="str">
            <v>0</v>
          </cell>
          <cell r="CG53" t="str">
            <v>0</v>
          </cell>
          <cell r="CH53" t="str">
            <v>0</v>
          </cell>
          <cell r="CI53" t="str">
            <v>0</v>
          </cell>
          <cell r="CJ53" t="str">
            <v>0</v>
          </cell>
          <cell r="CK53" t="str">
            <v>0</v>
          </cell>
          <cell r="CL53" t="str">
            <v>0</v>
          </cell>
          <cell r="CM53" t="str">
            <v>0</v>
          </cell>
          <cell r="CN53" t="str">
            <v>0</v>
          </cell>
          <cell r="CO53" t="str">
            <v>0</v>
          </cell>
          <cell r="CP53" t="str">
            <v>0</v>
          </cell>
          <cell r="CQ53" t="str">
            <v>0</v>
          </cell>
          <cell r="CR53" t="str">
            <v>0</v>
          </cell>
          <cell r="CS53" t="str">
            <v>0</v>
          </cell>
          <cell r="CT53" t="str">
            <v>0</v>
          </cell>
          <cell r="CU53" t="str">
            <v>0</v>
          </cell>
          <cell r="CV53" t="str">
            <v>0</v>
          </cell>
          <cell r="CW53" t="str">
            <v>0</v>
          </cell>
          <cell r="CX53" t="str">
            <v>0</v>
          </cell>
          <cell r="CY53">
            <v>2000</v>
          </cell>
          <cell r="CZ53">
            <v>71758</v>
          </cell>
          <cell r="DA53">
            <v>0</v>
          </cell>
          <cell r="DB53">
            <v>0</v>
          </cell>
          <cell r="DC53">
            <v>71758</v>
          </cell>
        </row>
        <row r="54">
          <cell r="A54" t="str">
            <v>FS407</v>
          </cell>
          <cell r="B54" t="str">
            <v xml:space="preserve">Rakesh Chappa </v>
          </cell>
          <cell r="C54" t="str">
            <v>Data &amp; Insights</v>
          </cell>
          <cell r="D54" t="str">
            <v>03-04-2023</v>
          </cell>
          <cell r="E54" t="str">
            <v>N.A</v>
          </cell>
          <cell r="F54" t="str">
            <v>2025-10</v>
          </cell>
          <cell r="G54" t="str">
            <v>Success</v>
          </cell>
          <cell r="H54" t="str">
            <v>N.A</v>
          </cell>
          <cell r="I54" t="str">
            <v/>
          </cell>
          <cell r="J54" t="str">
            <v>30</v>
          </cell>
          <cell r="K54" t="str">
            <v>0</v>
          </cell>
          <cell r="L54" t="str">
            <v>0</v>
          </cell>
          <cell r="M54" t="str">
            <v>N.A</v>
          </cell>
          <cell r="N54" t="str">
            <v>0</v>
          </cell>
          <cell r="O54" t="str">
            <v>0</v>
          </cell>
          <cell r="P54" t="str">
            <v>30</v>
          </cell>
          <cell r="Q54" t="str">
            <v>30</v>
          </cell>
          <cell r="R54" t="str">
            <v>Data Engineer - I</v>
          </cell>
          <cell r="S54" t="str">
            <v>Delivery-IN</v>
          </cell>
          <cell r="T54" t="str">
            <v>Hyderabad</v>
          </cell>
          <cell r="U54" t="str">
            <v xml:space="preserve">Telangana </v>
          </cell>
          <cell r="V54" t="str">
            <v>50100467103274</v>
          </cell>
          <cell r="W54" t="str">
            <v>HDFC BANK</v>
          </cell>
          <cell r="X54" t="str">
            <v>93242</v>
          </cell>
          <cell r="Y54" t="str">
            <v>FPEPR1504G</v>
          </cell>
          <cell r="Z54" t="str">
            <v>38017</v>
          </cell>
          <cell r="AA54">
            <v>38017</v>
          </cell>
          <cell r="AB54">
            <v>0</v>
          </cell>
          <cell r="AC54">
            <v>15207</v>
          </cell>
          <cell r="AD54">
            <v>15207</v>
          </cell>
          <cell r="AE54">
            <v>0</v>
          </cell>
          <cell r="AF54">
            <v>4182</v>
          </cell>
          <cell r="AG54">
            <v>4182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9504</v>
          </cell>
          <cell r="AM54">
            <v>9504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26332</v>
          </cell>
          <cell r="AS54">
            <v>26332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 t="str">
            <v>0</v>
          </cell>
          <cell r="BF54">
            <v>0</v>
          </cell>
          <cell r="BG54">
            <v>0</v>
          </cell>
          <cell r="BH54">
            <v>93242</v>
          </cell>
          <cell r="BI54">
            <v>93242</v>
          </cell>
          <cell r="BJ54">
            <v>0</v>
          </cell>
          <cell r="BK54">
            <v>0</v>
          </cell>
          <cell r="BL54">
            <v>0</v>
          </cell>
          <cell r="BM54">
            <v>200</v>
          </cell>
          <cell r="BN54">
            <v>0</v>
          </cell>
          <cell r="BO54">
            <v>0</v>
          </cell>
          <cell r="BP54">
            <v>1800</v>
          </cell>
          <cell r="BQ54">
            <v>0</v>
          </cell>
          <cell r="BR54">
            <v>1800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 t="str">
            <v>0</v>
          </cell>
          <cell r="BZ54" t="str">
            <v>0</v>
          </cell>
          <cell r="CA54" t="str">
            <v>0</v>
          </cell>
          <cell r="CB54" t="str">
            <v>0</v>
          </cell>
          <cell r="CC54" t="str">
            <v>0</v>
          </cell>
          <cell r="CD54" t="str">
            <v>0</v>
          </cell>
          <cell r="CE54" t="str">
            <v>0</v>
          </cell>
          <cell r="CF54" t="str">
            <v>0</v>
          </cell>
          <cell r="CG54" t="str">
            <v>0</v>
          </cell>
          <cell r="CH54" t="str">
            <v>0</v>
          </cell>
          <cell r="CI54" t="str">
            <v>0</v>
          </cell>
          <cell r="CJ54" t="str">
            <v>0</v>
          </cell>
          <cell r="CK54" t="str">
            <v>0</v>
          </cell>
          <cell r="CL54" t="str">
            <v>0</v>
          </cell>
          <cell r="CM54" t="str">
            <v>0</v>
          </cell>
          <cell r="CN54" t="str">
            <v>0</v>
          </cell>
          <cell r="CO54" t="str">
            <v>0</v>
          </cell>
          <cell r="CP54" t="str">
            <v>0</v>
          </cell>
          <cell r="CQ54" t="str">
            <v>0</v>
          </cell>
          <cell r="CR54" t="str">
            <v>0</v>
          </cell>
          <cell r="CS54" t="str">
            <v>0</v>
          </cell>
          <cell r="CT54" t="str">
            <v>0</v>
          </cell>
          <cell r="CU54" t="str">
            <v>0</v>
          </cell>
          <cell r="CV54" t="str">
            <v>0</v>
          </cell>
          <cell r="CW54" t="str">
            <v>0</v>
          </cell>
          <cell r="CX54" t="str">
            <v>0</v>
          </cell>
          <cell r="CY54">
            <v>2000</v>
          </cell>
          <cell r="CZ54">
            <v>91242</v>
          </cell>
          <cell r="DA54">
            <v>0</v>
          </cell>
          <cell r="DB54">
            <v>0</v>
          </cell>
          <cell r="DC54">
            <v>91242</v>
          </cell>
        </row>
        <row r="55">
          <cell r="A55" t="str">
            <v>FS408</v>
          </cell>
          <cell r="B55" t="str">
            <v>Satrapu Bhargavchandar</v>
          </cell>
          <cell r="C55" t="str">
            <v>Quality Engineering</v>
          </cell>
          <cell r="D55" t="str">
            <v>03-04-2023</v>
          </cell>
          <cell r="E55" t="str">
            <v>N.A</v>
          </cell>
          <cell r="F55" t="str">
            <v>2025-10</v>
          </cell>
          <cell r="G55" t="str">
            <v>Success</v>
          </cell>
          <cell r="H55" t="str">
            <v>N.A</v>
          </cell>
          <cell r="I55" t="str">
            <v/>
          </cell>
          <cell r="J55" t="str">
            <v>30</v>
          </cell>
          <cell r="K55" t="str">
            <v>0</v>
          </cell>
          <cell r="L55" t="str">
            <v>0</v>
          </cell>
          <cell r="M55" t="str">
            <v>N.A</v>
          </cell>
          <cell r="N55" t="str">
            <v>0</v>
          </cell>
          <cell r="O55" t="str">
            <v>0</v>
          </cell>
          <cell r="P55" t="str">
            <v>30</v>
          </cell>
          <cell r="Q55" t="str">
            <v>30</v>
          </cell>
          <cell r="R55" t="str">
            <v>Software Development Engineer in Test - I</v>
          </cell>
          <cell r="S55" t="str">
            <v>Support Function-IN</v>
          </cell>
          <cell r="T55" t="str">
            <v>Hyderabad</v>
          </cell>
          <cell r="U55" t="str">
            <v xml:space="preserve">Telangana </v>
          </cell>
          <cell r="V55" t="str">
            <v>50100467103261</v>
          </cell>
          <cell r="W55" t="str">
            <v>HDFC BANK</v>
          </cell>
          <cell r="X55" t="str">
            <v>73758</v>
          </cell>
          <cell r="Y55" t="str">
            <v>NVDPS5556Q</v>
          </cell>
          <cell r="Z55" t="str">
            <v>30223</v>
          </cell>
          <cell r="AA55">
            <v>30223</v>
          </cell>
          <cell r="AB55">
            <v>0</v>
          </cell>
          <cell r="AC55">
            <v>12089</v>
          </cell>
          <cell r="AD55">
            <v>12089</v>
          </cell>
          <cell r="AE55">
            <v>0</v>
          </cell>
          <cell r="AF55">
            <v>3325</v>
          </cell>
          <cell r="AG55">
            <v>3325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7556</v>
          </cell>
          <cell r="AM55">
            <v>7556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20565</v>
          </cell>
          <cell r="AS55">
            <v>20565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 t="str">
            <v>0</v>
          </cell>
          <cell r="BF55">
            <v>0</v>
          </cell>
          <cell r="BG55">
            <v>0</v>
          </cell>
          <cell r="BH55">
            <v>73758</v>
          </cell>
          <cell r="BI55">
            <v>73758</v>
          </cell>
          <cell r="BJ55">
            <v>0</v>
          </cell>
          <cell r="BK55">
            <v>0</v>
          </cell>
          <cell r="BL55">
            <v>0</v>
          </cell>
          <cell r="BM55">
            <v>200</v>
          </cell>
          <cell r="BN55">
            <v>0</v>
          </cell>
          <cell r="BO55">
            <v>0</v>
          </cell>
          <cell r="BP55">
            <v>1800</v>
          </cell>
          <cell r="BQ55">
            <v>0</v>
          </cell>
          <cell r="BR55">
            <v>1800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 t="str">
            <v>0</v>
          </cell>
          <cell r="BZ55" t="str">
            <v>0</v>
          </cell>
          <cell r="CA55" t="str">
            <v>0</v>
          </cell>
          <cell r="CB55" t="str">
            <v>0</v>
          </cell>
          <cell r="CC55" t="str">
            <v>0</v>
          </cell>
          <cell r="CD55" t="str">
            <v>0</v>
          </cell>
          <cell r="CE55" t="str">
            <v>0</v>
          </cell>
          <cell r="CF55" t="str">
            <v>0</v>
          </cell>
          <cell r="CG55" t="str">
            <v>0</v>
          </cell>
          <cell r="CH55" t="str">
            <v>0</v>
          </cell>
          <cell r="CI55" t="str">
            <v>0</v>
          </cell>
          <cell r="CJ55" t="str">
            <v>0</v>
          </cell>
          <cell r="CK55" t="str">
            <v>0</v>
          </cell>
          <cell r="CL55" t="str">
            <v>0</v>
          </cell>
          <cell r="CM55" t="str">
            <v>0</v>
          </cell>
          <cell r="CN55" t="str">
            <v>0</v>
          </cell>
          <cell r="CO55" t="str">
            <v>0</v>
          </cell>
          <cell r="CP55" t="str">
            <v>0</v>
          </cell>
          <cell r="CQ55" t="str">
            <v>0</v>
          </cell>
          <cell r="CR55" t="str">
            <v>0</v>
          </cell>
          <cell r="CS55" t="str">
            <v>0</v>
          </cell>
          <cell r="CT55" t="str">
            <v>0</v>
          </cell>
          <cell r="CU55" t="str">
            <v>0</v>
          </cell>
          <cell r="CV55" t="str">
            <v>0</v>
          </cell>
          <cell r="CW55" t="str">
            <v>0</v>
          </cell>
          <cell r="CX55" t="str">
            <v>0</v>
          </cell>
          <cell r="CY55">
            <v>2000</v>
          </cell>
          <cell r="CZ55">
            <v>71758</v>
          </cell>
          <cell r="DA55">
            <v>0</v>
          </cell>
          <cell r="DB55">
            <v>0</v>
          </cell>
          <cell r="DC55">
            <v>71758</v>
          </cell>
        </row>
        <row r="56">
          <cell r="A56" t="str">
            <v>FS409</v>
          </cell>
          <cell r="B56" t="str">
            <v>Kunkupudi Saikumar</v>
          </cell>
          <cell r="C56" t="str">
            <v>Quality Engineering</v>
          </cell>
          <cell r="D56" t="str">
            <v>03-04-2023</v>
          </cell>
          <cell r="E56" t="str">
            <v>N.A</v>
          </cell>
          <cell r="F56" t="str">
            <v>2025-10</v>
          </cell>
          <cell r="G56" t="str">
            <v>Success</v>
          </cell>
          <cell r="H56" t="str">
            <v>N.A</v>
          </cell>
          <cell r="I56" t="str">
            <v/>
          </cell>
          <cell r="J56" t="str">
            <v>30</v>
          </cell>
          <cell r="K56" t="str">
            <v>0</v>
          </cell>
          <cell r="L56" t="str">
            <v>0</v>
          </cell>
          <cell r="M56" t="str">
            <v>N.A</v>
          </cell>
          <cell r="N56" t="str">
            <v>0</v>
          </cell>
          <cell r="O56" t="str">
            <v>0</v>
          </cell>
          <cell r="P56" t="str">
            <v>30</v>
          </cell>
          <cell r="Q56" t="str">
            <v>30</v>
          </cell>
          <cell r="R56" t="str">
            <v>Software Development Engineer in Test - I</v>
          </cell>
          <cell r="S56" t="str">
            <v>Support Function-IN</v>
          </cell>
          <cell r="T56" t="str">
            <v>Hyderabad</v>
          </cell>
          <cell r="U56" t="str">
            <v xml:space="preserve">Telangana </v>
          </cell>
          <cell r="V56" t="str">
            <v>50100465382313</v>
          </cell>
          <cell r="W56" t="str">
            <v>HDFC BANK</v>
          </cell>
          <cell r="X56" t="str">
            <v>65964</v>
          </cell>
          <cell r="Y56" t="str">
            <v>PJHPS5715K</v>
          </cell>
          <cell r="Z56" t="str">
            <v>27106</v>
          </cell>
          <cell r="AA56">
            <v>27106</v>
          </cell>
          <cell r="AB56">
            <v>0</v>
          </cell>
          <cell r="AC56">
            <v>10842</v>
          </cell>
          <cell r="AD56">
            <v>10842</v>
          </cell>
          <cell r="AE56">
            <v>0</v>
          </cell>
          <cell r="AF56">
            <v>2982</v>
          </cell>
          <cell r="AG56">
            <v>2982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6776</v>
          </cell>
          <cell r="AM56">
            <v>6776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18258</v>
          </cell>
          <cell r="AS56">
            <v>18258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 t="str">
            <v>0</v>
          </cell>
          <cell r="BF56">
            <v>0</v>
          </cell>
          <cell r="BG56">
            <v>0</v>
          </cell>
          <cell r="BH56">
            <v>65964</v>
          </cell>
          <cell r="BI56">
            <v>65964</v>
          </cell>
          <cell r="BJ56">
            <v>0</v>
          </cell>
          <cell r="BK56">
            <v>0</v>
          </cell>
          <cell r="BL56">
            <v>0</v>
          </cell>
          <cell r="BM56">
            <v>200</v>
          </cell>
          <cell r="BN56">
            <v>0</v>
          </cell>
          <cell r="BO56">
            <v>0</v>
          </cell>
          <cell r="BP56">
            <v>1800</v>
          </cell>
          <cell r="BQ56">
            <v>0</v>
          </cell>
          <cell r="BR56">
            <v>1800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 t="str">
            <v>0</v>
          </cell>
          <cell r="BZ56" t="str">
            <v>0</v>
          </cell>
          <cell r="CA56" t="str">
            <v>0</v>
          </cell>
          <cell r="CB56" t="str">
            <v>0</v>
          </cell>
          <cell r="CC56" t="str">
            <v>0</v>
          </cell>
          <cell r="CD56" t="str">
            <v>0</v>
          </cell>
          <cell r="CE56" t="str">
            <v>0</v>
          </cell>
          <cell r="CF56" t="str">
            <v>0</v>
          </cell>
          <cell r="CG56" t="str">
            <v>0</v>
          </cell>
          <cell r="CH56" t="str">
            <v>0</v>
          </cell>
          <cell r="CI56" t="str">
            <v>0</v>
          </cell>
          <cell r="CJ56" t="str">
            <v>0</v>
          </cell>
          <cell r="CK56" t="str">
            <v>0</v>
          </cell>
          <cell r="CL56" t="str">
            <v>0</v>
          </cell>
          <cell r="CM56" t="str">
            <v>0</v>
          </cell>
          <cell r="CN56" t="str">
            <v>0</v>
          </cell>
          <cell r="CO56" t="str">
            <v>0</v>
          </cell>
          <cell r="CP56" t="str">
            <v>0</v>
          </cell>
          <cell r="CQ56" t="str">
            <v>0</v>
          </cell>
          <cell r="CR56" t="str">
            <v>0</v>
          </cell>
          <cell r="CS56" t="str">
            <v>0</v>
          </cell>
          <cell r="CT56" t="str">
            <v>0</v>
          </cell>
          <cell r="CU56" t="str">
            <v>0</v>
          </cell>
          <cell r="CV56" t="str">
            <v>0</v>
          </cell>
          <cell r="CW56" t="str">
            <v>0</v>
          </cell>
          <cell r="CX56" t="str">
            <v>0</v>
          </cell>
          <cell r="CY56">
            <v>2000</v>
          </cell>
          <cell r="CZ56">
            <v>63964</v>
          </cell>
          <cell r="DA56">
            <v>0</v>
          </cell>
          <cell r="DB56">
            <v>0</v>
          </cell>
          <cell r="DC56">
            <v>63964</v>
          </cell>
        </row>
        <row r="57">
          <cell r="A57" t="str">
            <v>FS414</v>
          </cell>
          <cell r="B57" t="str">
            <v>Veladi Siva Chanakya</v>
          </cell>
          <cell r="C57" t="str">
            <v>Talent Acquisition</v>
          </cell>
          <cell r="D57" t="str">
            <v>13-04-2023</v>
          </cell>
          <cell r="E57" t="str">
            <v>N.A</v>
          </cell>
          <cell r="F57" t="str">
            <v>2025-10</v>
          </cell>
          <cell r="G57" t="str">
            <v>Success</v>
          </cell>
          <cell r="H57" t="str">
            <v>N.A</v>
          </cell>
          <cell r="I57" t="str">
            <v/>
          </cell>
          <cell r="J57" t="str">
            <v>30</v>
          </cell>
          <cell r="K57" t="str">
            <v>0</v>
          </cell>
          <cell r="L57" t="str">
            <v>0</v>
          </cell>
          <cell r="M57" t="str">
            <v>N.A</v>
          </cell>
          <cell r="N57" t="str">
            <v>0</v>
          </cell>
          <cell r="O57" t="str">
            <v>0</v>
          </cell>
          <cell r="P57" t="str">
            <v>30</v>
          </cell>
          <cell r="Q57" t="str">
            <v>30</v>
          </cell>
          <cell r="R57" t="str">
            <v>Associate Vice President – Talent Acquisition</v>
          </cell>
          <cell r="S57" t="str">
            <v>Recruitment-IN</v>
          </cell>
          <cell r="T57" t="str">
            <v>Hyderabad</v>
          </cell>
          <cell r="U57" t="str">
            <v xml:space="preserve">Telangana </v>
          </cell>
          <cell r="V57" t="str">
            <v>50100069733522</v>
          </cell>
          <cell r="W57" t="str">
            <v>HDFC BANK</v>
          </cell>
          <cell r="X57" t="str">
            <v>363441</v>
          </cell>
          <cell r="Y57" t="str">
            <v>AIYPV7088H</v>
          </cell>
          <cell r="Z57" t="str">
            <v>152706</v>
          </cell>
          <cell r="AA57">
            <v>152706</v>
          </cell>
          <cell r="AB57">
            <v>0</v>
          </cell>
          <cell r="AC57">
            <v>61083</v>
          </cell>
          <cell r="AD57">
            <v>61083</v>
          </cell>
          <cell r="AE57">
            <v>0</v>
          </cell>
          <cell r="AF57">
            <v>16798</v>
          </cell>
          <cell r="AG57">
            <v>16798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10000</v>
          </cell>
          <cell r="AM57">
            <v>10000</v>
          </cell>
          <cell r="AN57">
            <v>0</v>
          </cell>
          <cell r="AO57">
            <v>2200</v>
          </cell>
          <cell r="AP57">
            <v>2200</v>
          </cell>
          <cell r="AQ57">
            <v>0</v>
          </cell>
          <cell r="AR57">
            <v>120654</v>
          </cell>
          <cell r="AS57">
            <v>120654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 t="str">
            <v>0</v>
          </cell>
          <cell r="BF57">
            <v>0</v>
          </cell>
          <cell r="BG57">
            <v>0</v>
          </cell>
          <cell r="BH57">
            <v>363441</v>
          </cell>
          <cell r="BI57">
            <v>363441</v>
          </cell>
          <cell r="BJ57">
            <v>2200</v>
          </cell>
          <cell r="BK57">
            <v>0</v>
          </cell>
          <cell r="BL57">
            <v>75044</v>
          </cell>
          <cell r="BM57">
            <v>200</v>
          </cell>
          <cell r="BN57">
            <v>0</v>
          </cell>
          <cell r="BO57">
            <v>0</v>
          </cell>
          <cell r="BP57">
            <v>18325</v>
          </cell>
          <cell r="BQ57">
            <v>0</v>
          </cell>
          <cell r="BR57">
            <v>18325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 t="str">
            <v>0</v>
          </cell>
          <cell r="BZ57" t="str">
            <v>0</v>
          </cell>
          <cell r="CA57" t="str">
            <v>0</v>
          </cell>
          <cell r="CB57" t="str">
            <v>0</v>
          </cell>
          <cell r="CC57" t="str">
            <v>0</v>
          </cell>
          <cell r="CD57" t="str">
            <v>0</v>
          </cell>
          <cell r="CE57" t="str">
            <v>0</v>
          </cell>
          <cell r="CF57" t="str">
            <v>0</v>
          </cell>
          <cell r="CG57" t="str">
            <v>0</v>
          </cell>
          <cell r="CH57" t="str">
            <v>0</v>
          </cell>
          <cell r="CI57" t="str">
            <v>0</v>
          </cell>
          <cell r="CJ57" t="str">
            <v>0</v>
          </cell>
          <cell r="CK57" t="str">
            <v>0</v>
          </cell>
          <cell r="CL57" t="str">
            <v>0</v>
          </cell>
          <cell r="CM57" t="str">
            <v>0</v>
          </cell>
          <cell r="CN57" t="str">
            <v>0</v>
          </cell>
          <cell r="CO57" t="str">
            <v>0</v>
          </cell>
          <cell r="CP57" t="str">
            <v>0</v>
          </cell>
          <cell r="CQ57" t="str">
            <v>0</v>
          </cell>
          <cell r="CR57" t="str">
            <v>0</v>
          </cell>
          <cell r="CS57" t="str">
            <v>0</v>
          </cell>
          <cell r="CT57" t="str">
            <v>0</v>
          </cell>
          <cell r="CU57" t="str">
            <v>0</v>
          </cell>
          <cell r="CV57" t="str">
            <v>0</v>
          </cell>
          <cell r="CW57" t="str">
            <v>0</v>
          </cell>
          <cell r="CX57" t="str">
            <v>0</v>
          </cell>
          <cell r="CY57">
            <v>95769</v>
          </cell>
          <cell r="CZ57">
            <v>267672</v>
          </cell>
          <cell r="DA57">
            <v>0</v>
          </cell>
          <cell r="DB57">
            <v>0</v>
          </cell>
          <cell r="DC57">
            <v>267672</v>
          </cell>
        </row>
        <row r="58">
          <cell r="A58" t="str">
            <v>FS415</v>
          </cell>
          <cell r="B58" t="str">
            <v xml:space="preserve">Ankush Gawande </v>
          </cell>
          <cell r="C58" t="str">
            <v>Product Engineering</v>
          </cell>
          <cell r="D58" t="str">
            <v>17-04-2023</v>
          </cell>
          <cell r="E58" t="str">
            <v>N.A</v>
          </cell>
          <cell r="F58" t="str">
            <v>2025-10</v>
          </cell>
          <cell r="G58" t="str">
            <v>Success</v>
          </cell>
          <cell r="H58" t="str">
            <v>N.A</v>
          </cell>
          <cell r="I58" t="str">
            <v/>
          </cell>
          <cell r="J58" t="str">
            <v>30</v>
          </cell>
          <cell r="K58" t="str">
            <v>0</v>
          </cell>
          <cell r="L58" t="str">
            <v>0</v>
          </cell>
          <cell r="M58" t="str">
            <v>N.A</v>
          </cell>
          <cell r="N58" t="str">
            <v>0</v>
          </cell>
          <cell r="O58" t="str">
            <v>0</v>
          </cell>
          <cell r="P58" t="str">
            <v>30</v>
          </cell>
          <cell r="Q58" t="str">
            <v>30</v>
          </cell>
          <cell r="R58" t="str">
            <v>Architect</v>
          </cell>
          <cell r="S58" t="str">
            <v>Delivery-IN</v>
          </cell>
          <cell r="T58" t="str">
            <v>Hyderabad</v>
          </cell>
          <cell r="U58" t="str">
            <v xml:space="preserve">Telangana </v>
          </cell>
          <cell r="V58" t="str">
            <v>50100214282495</v>
          </cell>
          <cell r="W58" t="str">
            <v>HDFC BANK</v>
          </cell>
          <cell r="X58" t="str">
            <v>361946</v>
          </cell>
          <cell r="Y58" t="str">
            <v>AXQPG6662D</v>
          </cell>
          <cell r="Z58" t="str">
            <v>145498</v>
          </cell>
          <cell r="AA58">
            <v>145498</v>
          </cell>
          <cell r="AB58">
            <v>0</v>
          </cell>
          <cell r="AC58">
            <v>58199</v>
          </cell>
          <cell r="AD58">
            <v>58199</v>
          </cell>
          <cell r="AE58">
            <v>0</v>
          </cell>
          <cell r="AF58">
            <v>16005</v>
          </cell>
          <cell r="AG58">
            <v>16005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10000</v>
          </cell>
          <cell r="AM58">
            <v>10000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132244</v>
          </cell>
          <cell r="AS58">
            <v>132244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 t="str">
            <v>0</v>
          </cell>
          <cell r="BF58">
            <v>0</v>
          </cell>
          <cell r="BG58">
            <v>0</v>
          </cell>
          <cell r="BH58">
            <v>361946</v>
          </cell>
          <cell r="BI58">
            <v>361946</v>
          </cell>
          <cell r="BJ58">
            <v>0</v>
          </cell>
          <cell r="BK58">
            <v>0</v>
          </cell>
          <cell r="BL58">
            <v>74578</v>
          </cell>
          <cell r="BM58">
            <v>200</v>
          </cell>
          <cell r="BN58">
            <v>0</v>
          </cell>
          <cell r="BO58">
            <v>0</v>
          </cell>
          <cell r="BP58">
            <v>1800</v>
          </cell>
          <cell r="BQ58">
            <v>0</v>
          </cell>
          <cell r="BR58">
            <v>1800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 t="str">
            <v>0</v>
          </cell>
          <cell r="BZ58" t="str">
            <v>0</v>
          </cell>
          <cell r="CA58" t="str">
            <v>0</v>
          </cell>
          <cell r="CB58" t="str">
            <v>0</v>
          </cell>
          <cell r="CC58" t="str">
            <v>0</v>
          </cell>
          <cell r="CD58" t="str">
            <v>0</v>
          </cell>
          <cell r="CE58" t="str">
            <v>0</v>
          </cell>
          <cell r="CF58" t="str">
            <v>0</v>
          </cell>
          <cell r="CG58" t="str">
            <v>0</v>
          </cell>
          <cell r="CH58" t="str">
            <v>0</v>
          </cell>
          <cell r="CI58" t="str">
            <v>0</v>
          </cell>
          <cell r="CJ58" t="str">
            <v>0</v>
          </cell>
          <cell r="CK58" t="str">
            <v>0</v>
          </cell>
          <cell r="CL58" t="str">
            <v>0</v>
          </cell>
          <cell r="CM58" t="str">
            <v>0</v>
          </cell>
          <cell r="CN58" t="str">
            <v>0</v>
          </cell>
          <cell r="CO58" t="str">
            <v>0</v>
          </cell>
          <cell r="CP58" t="str">
            <v>0</v>
          </cell>
          <cell r="CQ58" t="str">
            <v>0</v>
          </cell>
          <cell r="CR58" t="str">
            <v>0</v>
          </cell>
          <cell r="CS58" t="str">
            <v>0</v>
          </cell>
          <cell r="CT58" t="str">
            <v>0</v>
          </cell>
          <cell r="CU58" t="str">
            <v>0</v>
          </cell>
          <cell r="CV58" t="str">
            <v>0</v>
          </cell>
          <cell r="CW58" t="str">
            <v>0</v>
          </cell>
          <cell r="CX58" t="str">
            <v>0</v>
          </cell>
          <cell r="CY58">
            <v>76578</v>
          </cell>
          <cell r="CZ58">
            <v>285368</v>
          </cell>
          <cell r="DA58">
            <v>0</v>
          </cell>
          <cell r="DB58">
            <v>0</v>
          </cell>
          <cell r="DC58">
            <v>285368</v>
          </cell>
        </row>
        <row r="59">
          <cell r="A59" t="str">
            <v>FS416</v>
          </cell>
          <cell r="B59" t="str">
            <v xml:space="preserve">Saurabh Jaiswal </v>
          </cell>
          <cell r="C59" t="str">
            <v>Product Engineering</v>
          </cell>
          <cell r="D59" t="str">
            <v>19-04-2023</v>
          </cell>
          <cell r="E59" t="str">
            <v>N.A</v>
          </cell>
          <cell r="F59" t="str">
            <v>2025-10</v>
          </cell>
          <cell r="G59" t="str">
            <v>Success</v>
          </cell>
          <cell r="H59" t="str">
            <v>N.A</v>
          </cell>
          <cell r="I59" t="str">
            <v/>
          </cell>
          <cell r="J59" t="str">
            <v>30</v>
          </cell>
          <cell r="K59" t="str">
            <v>0</v>
          </cell>
          <cell r="L59" t="str">
            <v>0</v>
          </cell>
          <cell r="M59" t="str">
            <v>N.A</v>
          </cell>
          <cell r="N59" t="str">
            <v>0</v>
          </cell>
          <cell r="O59" t="str">
            <v>0</v>
          </cell>
          <cell r="P59" t="str">
            <v>30</v>
          </cell>
          <cell r="Q59" t="str">
            <v>30</v>
          </cell>
          <cell r="R59" t="str">
            <v>Associate Architect</v>
          </cell>
          <cell r="S59" t="str">
            <v>Delivery-IN</v>
          </cell>
          <cell r="T59" t="str">
            <v>Hyderabad</v>
          </cell>
          <cell r="U59" t="str">
            <v xml:space="preserve">Telangana </v>
          </cell>
          <cell r="V59" t="str">
            <v>50100617500151</v>
          </cell>
          <cell r="W59" t="str">
            <v>HDFC BANK</v>
          </cell>
          <cell r="X59" t="str">
            <v>312403</v>
          </cell>
          <cell r="Y59" t="str">
            <v>AQJPJ8448C</v>
          </cell>
          <cell r="Z59" t="str">
            <v>131262</v>
          </cell>
          <cell r="AA59">
            <v>131262</v>
          </cell>
          <cell r="AB59">
            <v>0</v>
          </cell>
          <cell r="AC59">
            <v>52505</v>
          </cell>
          <cell r="AD59">
            <v>52505</v>
          </cell>
          <cell r="AE59">
            <v>0</v>
          </cell>
          <cell r="AF59">
            <v>14439</v>
          </cell>
          <cell r="AG59">
            <v>14439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10000</v>
          </cell>
          <cell r="AM59">
            <v>10000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104197</v>
          </cell>
          <cell r="AS59">
            <v>104197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 t="str">
            <v>0</v>
          </cell>
          <cell r="BF59">
            <v>0</v>
          </cell>
          <cell r="BG59">
            <v>0</v>
          </cell>
          <cell r="BH59">
            <v>312403</v>
          </cell>
          <cell r="BI59">
            <v>312403</v>
          </cell>
          <cell r="BJ59">
            <v>0</v>
          </cell>
          <cell r="BK59">
            <v>0</v>
          </cell>
          <cell r="BL59">
            <v>59120</v>
          </cell>
          <cell r="BM59">
            <v>200</v>
          </cell>
          <cell r="BN59">
            <v>0</v>
          </cell>
          <cell r="BO59">
            <v>0</v>
          </cell>
          <cell r="BP59">
            <v>15751</v>
          </cell>
          <cell r="BQ59">
            <v>0</v>
          </cell>
          <cell r="BR59">
            <v>15751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 t="str">
            <v>0</v>
          </cell>
          <cell r="BZ59" t="str">
            <v>0</v>
          </cell>
          <cell r="CA59" t="str">
            <v>0</v>
          </cell>
          <cell r="CB59" t="str">
            <v>0</v>
          </cell>
          <cell r="CC59" t="str">
            <v>0</v>
          </cell>
          <cell r="CD59" t="str">
            <v>0</v>
          </cell>
          <cell r="CE59" t="str">
            <v>0</v>
          </cell>
          <cell r="CF59" t="str">
            <v>0</v>
          </cell>
          <cell r="CG59" t="str">
            <v>0</v>
          </cell>
          <cell r="CH59" t="str">
            <v>0</v>
          </cell>
          <cell r="CI59" t="str">
            <v>0</v>
          </cell>
          <cell r="CJ59" t="str">
            <v>0</v>
          </cell>
          <cell r="CK59" t="str">
            <v>0</v>
          </cell>
          <cell r="CL59" t="str">
            <v>0</v>
          </cell>
          <cell r="CM59" t="str">
            <v>0</v>
          </cell>
          <cell r="CN59" t="str">
            <v>0</v>
          </cell>
          <cell r="CO59" t="str">
            <v>0</v>
          </cell>
          <cell r="CP59" t="str">
            <v>0</v>
          </cell>
          <cell r="CQ59" t="str">
            <v>0</v>
          </cell>
          <cell r="CR59" t="str">
            <v>0</v>
          </cell>
          <cell r="CS59" t="str">
            <v>0</v>
          </cell>
          <cell r="CT59" t="str">
            <v>0</v>
          </cell>
          <cell r="CU59" t="str">
            <v>0</v>
          </cell>
          <cell r="CV59" t="str">
            <v>0</v>
          </cell>
          <cell r="CW59" t="str">
            <v>0</v>
          </cell>
          <cell r="CX59" t="str">
            <v>0</v>
          </cell>
          <cell r="CY59">
            <v>75071</v>
          </cell>
          <cell r="CZ59">
            <v>237332</v>
          </cell>
          <cell r="DA59">
            <v>0</v>
          </cell>
          <cell r="DB59">
            <v>0</v>
          </cell>
          <cell r="DC59">
            <v>237332</v>
          </cell>
        </row>
        <row r="60">
          <cell r="A60" t="str">
            <v>FS422</v>
          </cell>
          <cell r="B60" t="str">
            <v>Ravula Satya Sai Ram</v>
          </cell>
          <cell r="C60" t="str">
            <v>Product Engineering</v>
          </cell>
          <cell r="D60" t="str">
            <v>19-06-2023</v>
          </cell>
          <cell r="E60" t="str">
            <v>10-10-2025</v>
          </cell>
          <cell r="F60" t="str">
            <v>2025-10</v>
          </cell>
          <cell r="G60" t="str">
            <v>Success</v>
          </cell>
          <cell r="H60" t="str">
            <v>N.A</v>
          </cell>
          <cell r="I60" t="str">
            <v>Hold Salary</v>
          </cell>
          <cell r="J60" t="str">
            <v>30</v>
          </cell>
          <cell r="K60" t="str">
            <v>0</v>
          </cell>
          <cell r="L60" t="str">
            <v>0</v>
          </cell>
          <cell r="M60" t="str">
            <v>N.A</v>
          </cell>
          <cell r="N60" t="str">
            <v>0</v>
          </cell>
          <cell r="O60" t="str">
            <v>0</v>
          </cell>
          <cell r="P60" t="str">
            <v>15</v>
          </cell>
          <cell r="Q60" t="str">
            <v>15</v>
          </cell>
          <cell r="R60" t="str">
            <v>Associate Architect</v>
          </cell>
          <cell r="S60" t="str">
            <v>Delivery-IN</v>
          </cell>
          <cell r="T60" t="str">
            <v>Hyderabad</v>
          </cell>
          <cell r="U60" t="str">
            <v xml:space="preserve">Telangana </v>
          </cell>
          <cell r="V60" t="str">
            <v>05211140100040</v>
          </cell>
          <cell r="W60" t="str">
            <v>HDFC BANK</v>
          </cell>
          <cell r="X60" t="str">
            <v>301070</v>
          </cell>
          <cell r="Y60" t="str">
            <v>BKKPR9690G</v>
          </cell>
          <cell r="Z60" t="str">
            <v>126500</v>
          </cell>
          <cell r="AA60">
            <v>63250</v>
          </cell>
          <cell r="AB60">
            <v>0</v>
          </cell>
          <cell r="AC60">
            <v>50600</v>
          </cell>
          <cell r="AD60">
            <v>25300</v>
          </cell>
          <cell r="AE60">
            <v>0</v>
          </cell>
          <cell r="AF60">
            <v>13915</v>
          </cell>
          <cell r="AG60">
            <v>6958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10000</v>
          </cell>
          <cell r="AM60">
            <v>5000</v>
          </cell>
          <cell r="AN60">
            <v>0</v>
          </cell>
          <cell r="AO60">
            <v>2200</v>
          </cell>
          <cell r="AP60">
            <v>1100</v>
          </cell>
          <cell r="AQ60">
            <v>0</v>
          </cell>
          <cell r="AR60">
            <v>97855</v>
          </cell>
          <cell r="AS60">
            <v>48928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 t="str">
            <v>0</v>
          </cell>
          <cell r="BF60">
            <v>0</v>
          </cell>
          <cell r="BG60">
            <v>0</v>
          </cell>
          <cell r="BH60">
            <v>150536</v>
          </cell>
          <cell r="BI60">
            <v>150536</v>
          </cell>
          <cell r="BJ60">
            <v>1100</v>
          </cell>
          <cell r="BK60">
            <v>0</v>
          </cell>
          <cell r="BL60">
            <v>0</v>
          </cell>
          <cell r="BM60">
            <v>200</v>
          </cell>
          <cell r="BN60">
            <v>0</v>
          </cell>
          <cell r="BO60">
            <v>0</v>
          </cell>
          <cell r="BP60">
            <v>7590</v>
          </cell>
          <cell r="BQ60">
            <v>0</v>
          </cell>
          <cell r="BR60">
            <v>7590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 t="str">
            <v>0</v>
          </cell>
          <cell r="BZ60" t="str">
            <v>0</v>
          </cell>
          <cell r="CA60" t="str">
            <v>0</v>
          </cell>
          <cell r="CB60" t="str">
            <v>0</v>
          </cell>
          <cell r="CC60" t="str">
            <v>0</v>
          </cell>
          <cell r="CD60" t="str">
            <v>0</v>
          </cell>
          <cell r="CE60" t="str">
            <v>0</v>
          </cell>
          <cell r="CF60" t="str">
            <v>0</v>
          </cell>
          <cell r="CG60" t="str">
            <v>0</v>
          </cell>
          <cell r="CH60" t="str">
            <v>0</v>
          </cell>
          <cell r="CI60" t="str">
            <v>0</v>
          </cell>
          <cell r="CJ60" t="str">
            <v>0</v>
          </cell>
          <cell r="CK60" t="str">
            <v>0</v>
          </cell>
          <cell r="CL60" t="str">
            <v>0</v>
          </cell>
          <cell r="CM60" t="str">
            <v>0</v>
          </cell>
          <cell r="CN60" t="str">
            <v>0</v>
          </cell>
          <cell r="CO60" t="str">
            <v>0</v>
          </cell>
          <cell r="CP60" t="str">
            <v>0</v>
          </cell>
          <cell r="CQ60" t="str">
            <v>0</v>
          </cell>
          <cell r="CR60" t="str">
            <v>0</v>
          </cell>
          <cell r="CS60" t="str">
            <v>0</v>
          </cell>
          <cell r="CT60" t="str">
            <v>0</v>
          </cell>
          <cell r="CU60" t="str">
            <v>0</v>
          </cell>
          <cell r="CV60" t="str">
            <v>0</v>
          </cell>
          <cell r="CW60" t="str">
            <v>0</v>
          </cell>
          <cell r="CX60" t="str">
            <v>0</v>
          </cell>
          <cell r="CY60">
            <v>8890</v>
          </cell>
          <cell r="CZ60">
            <v>141646</v>
          </cell>
          <cell r="DA60">
            <v>0</v>
          </cell>
          <cell r="DB60">
            <v>0</v>
          </cell>
          <cell r="DC60">
            <v>141646</v>
          </cell>
        </row>
        <row r="61">
          <cell r="A61" t="str">
            <v>FS423</v>
          </cell>
          <cell r="B61" t="str">
            <v>Keerthana Chalasani</v>
          </cell>
          <cell r="C61" t="str">
            <v>Cyber Security</v>
          </cell>
          <cell r="D61" t="str">
            <v>26-06-2023</v>
          </cell>
          <cell r="E61" t="str">
            <v>N.A</v>
          </cell>
          <cell r="F61" t="str">
            <v>2025-10</v>
          </cell>
          <cell r="G61" t="str">
            <v>Success</v>
          </cell>
          <cell r="H61" t="str">
            <v>N.A</v>
          </cell>
          <cell r="I61" t="str">
            <v/>
          </cell>
          <cell r="J61" t="str">
            <v>30</v>
          </cell>
          <cell r="K61" t="str">
            <v>0</v>
          </cell>
          <cell r="L61" t="str">
            <v>0</v>
          </cell>
          <cell r="M61" t="str">
            <v>N.A</v>
          </cell>
          <cell r="N61" t="str">
            <v>0</v>
          </cell>
          <cell r="O61" t="str">
            <v>0</v>
          </cell>
          <cell r="P61" t="str">
            <v>30</v>
          </cell>
          <cell r="Q61" t="str">
            <v>30</v>
          </cell>
          <cell r="R61" t="str">
            <v>Architect</v>
          </cell>
          <cell r="S61" t="str">
            <v>Delivery-IN</v>
          </cell>
          <cell r="T61" t="str">
            <v>Hyderabad</v>
          </cell>
          <cell r="U61" t="str">
            <v xml:space="preserve">Telangana </v>
          </cell>
          <cell r="V61" t="str">
            <v>50100625029294</v>
          </cell>
          <cell r="W61" t="str">
            <v>HDFC BANK</v>
          </cell>
          <cell r="X61" t="str">
            <v>237613</v>
          </cell>
          <cell r="Y61" t="str">
            <v>BEDPC3812E</v>
          </cell>
          <cell r="Z61" t="str">
            <v>99837</v>
          </cell>
          <cell r="AA61">
            <v>99837</v>
          </cell>
          <cell r="AB61">
            <v>0</v>
          </cell>
          <cell r="AC61">
            <v>39935</v>
          </cell>
          <cell r="AD61">
            <v>39935</v>
          </cell>
          <cell r="AE61">
            <v>0</v>
          </cell>
          <cell r="AF61">
            <v>10982</v>
          </cell>
          <cell r="AG61">
            <v>10982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10000</v>
          </cell>
          <cell r="AM61">
            <v>10000</v>
          </cell>
          <cell r="AN61">
            <v>0</v>
          </cell>
          <cell r="AO61">
            <v>2200</v>
          </cell>
          <cell r="AP61">
            <v>2200</v>
          </cell>
          <cell r="AQ61">
            <v>0</v>
          </cell>
          <cell r="AR61">
            <v>74659</v>
          </cell>
          <cell r="AS61">
            <v>74659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 t="str">
            <v>0</v>
          </cell>
          <cell r="BF61">
            <v>0</v>
          </cell>
          <cell r="BG61">
            <v>0</v>
          </cell>
          <cell r="BH61">
            <v>237613</v>
          </cell>
          <cell r="BI61">
            <v>237613</v>
          </cell>
          <cell r="BJ61">
            <v>2200</v>
          </cell>
          <cell r="BK61">
            <v>0</v>
          </cell>
          <cell r="BL61">
            <v>35786</v>
          </cell>
          <cell r="BM61">
            <v>200</v>
          </cell>
          <cell r="BN61">
            <v>0</v>
          </cell>
          <cell r="BO61">
            <v>0</v>
          </cell>
          <cell r="BP61">
            <v>11980</v>
          </cell>
          <cell r="BQ61">
            <v>0</v>
          </cell>
          <cell r="BR61">
            <v>11980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 t="str">
            <v>0</v>
          </cell>
          <cell r="BZ61" t="str">
            <v>0</v>
          </cell>
          <cell r="CA61" t="str">
            <v>0</v>
          </cell>
          <cell r="CB61" t="str">
            <v>0</v>
          </cell>
          <cell r="CC61" t="str">
            <v>0</v>
          </cell>
          <cell r="CD61" t="str">
            <v>0</v>
          </cell>
          <cell r="CE61" t="str">
            <v>0</v>
          </cell>
          <cell r="CF61" t="str">
            <v>0</v>
          </cell>
          <cell r="CG61" t="str">
            <v>0</v>
          </cell>
          <cell r="CH61" t="str">
            <v>0</v>
          </cell>
          <cell r="CI61" t="str">
            <v>0</v>
          </cell>
          <cell r="CJ61" t="str">
            <v>0</v>
          </cell>
          <cell r="CK61" t="str">
            <v>0</v>
          </cell>
          <cell r="CL61" t="str">
            <v>0</v>
          </cell>
          <cell r="CM61" t="str">
            <v>0</v>
          </cell>
          <cell r="CN61" t="str">
            <v>0</v>
          </cell>
          <cell r="CO61" t="str">
            <v>0</v>
          </cell>
          <cell r="CP61" t="str">
            <v>0</v>
          </cell>
          <cell r="CQ61" t="str">
            <v>0</v>
          </cell>
          <cell r="CR61" t="str">
            <v>0</v>
          </cell>
          <cell r="CS61" t="str">
            <v>0</v>
          </cell>
          <cell r="CT61" t="str">
            <v>0</v>
          </cell>
          <cell r="CU61" t="str">
            <v>0</v>
          </cell>
          <cell r="CV61" t="str">
            <v>0</v>
          </cell>
          <cell r="CW61" t="str">
            <v>0</v>
          </cell>
          <cell r="CX61" t="str">
            <v>0</v>
          </cell>
          <cell r="CY61">
            <v>50166</v>
          </cell>
          <cell r="CZ61">
            <v>187447</v>
          </cell>
          <cell r="DA61">
            <v>0</v>
          </cell>
          <cell r="DB61">
            <v>0</v>
          </cell>
          <cell r="DC61">
            <v>187447</v>
          </cell>
        </row>
        <row r="62">
          <cell r="A62" t="str">
            <v>FS424</v>
          </cell>
          <cell r="B62" t="str">
            <v>Kawalpreet Kaur</v>
          </cell>
          <cell r="C62" t="str">
            <v>Product Engineering</v>
          </cell>
          <cell r="D62" t="str">
            <v>29-06-2023</v>
          </cell>
          <cell r="E62" t="str">
            <v>N.A</v>
          </cell>
          <cell r="F62" t="str">
            <v>2025-10</v>
          </cell>
          <cell r="G62" t="str">
            <v>Success</v>
          </cell>
          <cell r="H62" t="str">
            <v>N.A</v>
          </cell>
          <cell r="I62" t="str">
            <v/>
          </cell>
          <cell r="J62" t="str">
            <v>30</v>
          </cell>
          <cell r="K62" t="str">
            <v>0</v>
          </cell>
          <cell r="L62" t="str">
            <v>0</v>
          </cell>
          <cell r="M62" t="str">
            <v>N.A</v>
          </cell>
          <cell r="N62" t="str">
            <v>0</v>
          </cell>
          <cell r="O62" t="str">
            <v>0</v>
          </cell>
          <cell r="P62" t="str">
            <v>30</v>
          </cell>
          <cell r="Q62" t="str">
            <v>30</v>
          </cell>
          <cell r="R62" t="str">
            <v>Associate Tech Lead</v>
          </cell>
          <cell r="S62" t="str">
            <v>Delivery-IN</v>
          </cell>
          <cell r="T62" t="str">
            <v>Hyderabad</v>
          </cell>
          <cell r="U62" t="str">
            <v xml:space="preserve">Telangana </v>
          </cell>
          <cell r="V62" t="str">
            <v>50100646251544</v>
          </cell>
          <cell r="W62" t="str">
            <v>HDFC BANK</v>
          </cell>
          <cell r="X62" t="str">
            <v>178023</v>
          </cell>
          <cell r="Y62" t="str">
            <v>FHSPK2646L</v>
          </cell>
          <cell r="Z62" t="str">
            <v>74800</v>
          </cell>
          <cell r="AA62">
            <v>74800</v>
          </cell>
          <cell r="AB62">
            <v>0</v>
          </cell>
          <cell r="AC62">
            <v>29920</v>
          </cell>
          <cell r="AD62">
            <v>29920</v>
          </cell>
          <cell r="AE62">
            <v>0</v>
          </cell>
          <cell r="AF62">
            <v>8228</v>
          </cell>
          <cell r="AG62">
            <v>8228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10000</v>
          </cell>
          <cell r="AM62">
            <v>10000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55075</v>
          </cell>
          <cell r="AS62">
            <v>55075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 t="str">
            <v>0</v>
          </cell>
          <cell r="BF62">
            <v>0</v>
          </cell>
          <cell r="BG62">
            <v>0</v>
          </cell>
          <cell r="BH62">
            <v>178023</v>
          </cell>
          <cell r="BI62">
            <v>178023</v>
          </cell>
          <cell r="BJ62">
            <v>0</v>
          </cell>
          <cell r="BK62">
            <v>0</v>
          </cell>
          <cell r="BL62">
            <v>18661</v>
          </cell>
          <cell r="BM62">
            <v>200</v>
          </cell>
          <cell r="BN62">
            <v>0</v>
          </cell>
          <cell r="BO62">
            <v>0</v>
          </cell>
          <cell r="BP62">
            <v>8976</v>
          </cell>
          <cell r="BQ62">
            <v>0</v>
          </cell>
          <cell r="BR62">
            <v>8976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 t="str">
            <v>0</v>
          </cell>
          <cell r="BZ62" t="str">
            <v>0</v>
          </cell>
          <cell r="CA62" t="str">
            <v>0</v>
          </cell>
          <cell r="CB62" t="str">
            <v>0</v>
          </cell>
          <cell r="CC62" t="str">
            <v>0</v>
          </cell>
          <cell r="CD62" t="str">
            <v>0</v>
          </cell>
          <cell r="CE62" t="str">
            <v>0</v>
          </cell>
          <cell r="CF62" t="str">
            <v>0</v>
          </cell>
          <cell r="CG62" t="str">
            <v>0</v>
          </cell>
          <cell r="CH62" t="str">
            <v>0</v>
          </cell>
          <cell r="CI62" t="str">
            <v>0</v>
          </cell>
          <cell r="CJ62" t="str">
            <v>0</v>
          </cell>
          <cell r="CK62" t="str">
            <v>0</v>
          </cell>
          <cell r="CL62" t="str">
            <v>0</v>
          </cell>
          <cell r="CM62" t="str">
            <v>0</v>
          </cell>
          <cell r="CN62" t="str">
            <v>0</v>
          </cell>
          <cell r="CO62" t="str">
            <v>0</v>
          </cell>
          <cell r="CP62" t="str">
            <v>0</v>
          </cell>
          <cell r="CQ62" t="str">
            <v>0</v>
          </cell>
          <cell r="CR62" t="str">
            <v>0</v>
          </cell>
          <cell r="CS62" t="str">
            <v>0</v>
          </cell>
          <cell r="CT62" t="str">
            <v>0</v>
          </cell>
          <cell r="CU62" t="str">
            <v>0</v>
          </cell>
          <cell r="CV62" t="str">
            <v>0</v>
          </cell>
          <cell r="CW62" t="str">
            <v>0</v>
          </cell>
          <cell r="CX62" t="str">
            <v>0</v>
          </cell>
          <cell r="CY62">
            <v>27837</v>
          </cell>
          <cell r="CZ62">
            <v>150186</v>
          </cell>
          <cell r="DA62">
            <v>0</v>
          </cell>
          <cell r="DB62">
            <v>0</v>
          </cell>
          <cell r="DC62">
            <v>150186</v>
          </cell>
        </row>
        <row r="63">
          <cell r="A63" t="str">
            <v>FS427</v>
          </cell>
          <cell r="B63" t="str">
            <v>Priyanka Mishra</v>
          </cell>
          <cell r="C63" t="str">
            <v>HR</v>
          </cell>
          <cell r="D63" t="str">
            <v>31-07-2023</v>
          </cell>
          <cell r="E63" t="str">
            <v>N.A</v>
          </cell>
          <cell r="F63" t="str">
            <v>2025-10</v>
          </cell>
          <cell r="G63" t="str">
            <v>Success</v>
          </cell>
          <cell r="H63" t="str">
            <v>N.A</v>
          </cell>
          <cell r="I63" t="str">
            <v/>
          </cell>
          <cell r="J63" t="str">
            <v>30</v>
          </cell>
          <cell r="K63" t="str">
            <v>0</v>
          </cell>
          <cell r="L63" t="str">
            <v>0</v>
          </cell>
          <cell r="M63" t="str">
            <v>N.A</v>
          </cell>
          <cell r="N63" t="str">
            <v>0</v>
          </cell>
          <cell r="O63" t="str">
            <v>0</v>
          </cell>
          <cell r="P63" t="str">
            <v>30</v>
          </cell>
          <cell r="Q63" t="str">
            <v>30</v>
          </cell>
          <cell r="R63" t="str">
            <v>Sr. Manager – HR and OD (Org. Development)</v>
          </cell>
          <cell r="S63" t="str">
            <v>Human Resources</v>
          </cell>
          <cell r="T63" t="str">
            <v>Hyderabad</v>
          </cell>
          <cell r="U63" t="str">
            <v xml:space="preserve">Telangana </v>
          </cell>
          <cell r="V63" t="str">
            <v>00811050111850</v>
          </cell>
          <cell r="W63" t="str">
            <v>HDFC BANK</v>
          </cell>
          <cell r="X63" t="str">
            <v>215033</v>
          </cell>
          <cell r="Y63" t="str">
            <v>AQYPM7591G</v>
          </cell>
          <cell r="Z63" t="str">
            <v>90350</v>
          </cell>
          <cell r="AA63">
            <v>90350</v>
          </cell>
          <cell r="AB63">
            <v>0</v>
          </cell>
          <cell r="AC63">
            <v>36140</v>
          </cell>
          <cell r="AD63">
            <v>36140</v>
          </cell>
          <cell r="AE63">
            <v>0</v>
          </cell>
          <cell r="AF63">
            <v>9939</v>
          </cell>
          <cell r="AG63">
            <v>9939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10000</v>
          </cell>
          <cell r="AM63">
            <v>10000</v>
          </cell>
          <cell r="AN63">
            <v>0</v>
          </cell>
          <cell r="AO63">
            <v>2200</v>
          </cell>
          <cell r="AP63">
            <v>2200</v>
          </cell>
          <cell r="AQ63">
            <v>0</v>
          </cell>
          <cell r="AR63">
            <v>66404</v>
          </cell>
          <cell r="AS63">
            <v>66404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 t="str">
            <v>0</v>
          </cell>
          <cell r="BF63">
            <v>0</v>
          </cell>
          <cell r="BG63">
            <v>0</v>
          </cell>
          <cell r="BH63">
            <v>215033</v>
          </cell>
          <cell r="BI63">
            <v>215033</v>
          </cell>
          <cell r="BJ63">
            <v>2200</v>
          </cell>
          <cell r="BK63">
            <v>0</v>
          </cell>
          <cell r="BL63">
            <v>28740</v>
          </cell>
          <cell r="BM63">
            <v>200</v>
          </cell>
          <cell r="BN63">
            <v>0</v>
          </cell>
          <cell r="BO63">
            <v>0</v>
          </cell>
          <cell r="BP63">
            <v>10842</v>
          </cell>
          <cell r="BQ63">
            <v>0</v>
          </cell>
          <cell r="BR63">
            <v>10842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 t="str">
            <v>0</v>
          </cell>
          <cell r="BZ63" t="str">
            <v>0</v>
          </cell>
          <cell r="CA63" t="str">
            <v>0</v>
          </cell>
          <cell r="CB63" t="str">
            <v>0</v>
          </cell>
          <cell r="CC63" t="str">
            <v>0</v>
          </cell>
          <cell r="CD63" t="str">
            <v>0</v>
          </cell>
          <cell r="CE63" t="str">
            <v>0</v>
          </cell>
          <cell r="CF63" t="str">
            <v>0</v>
          </cell>
          <cell r="CG63" t="str">
            <v>0</v>
          </cell>
          <cell r="CH63" t="str">
            <v>0</v>
          </cell>
          <cell r="CI63" t="str">
            <v>0</v>
          </cell>
          <cell r="CJ63" t="str">
            <v>0</v>
          </cell>
          <cell r="CK63" t="str">
            <v>0</v>
          </cell>
          <cell r="CL63" t="str">
            <v>0</v>
          </cell>
          <cell r="CM63" t="str">
            <v>0</v>
          </cell>
          <cell r="CN63" t="str">
            <v>0</v>
          </cell>
          <cell r="CO63" t="str">
            <v>0</v>
          </cell>
          <cell r="CP63" t="str">
            <v>0</v>
          </cell>
          <cell r="CQ63" t="str">
            <v>0</v>
          </cell>
          <cell r="CR63" t="str">
            <v>0</v>
          </cell>
          <cell r="CS63" t="str">
            <v>0</v>
          </cell>
          <cell r="CT63" t="str">
            <v>0</v>
          </cell>
          <cell r="CU63" t="str">
            <v>0</v>
          </cell>
          <cell r="CV63" t="str">
            <v>0</v>
          </cell>
          <cell r="CW63" t="str">
            <v>0</v>
          </cell>
          <cell r="CX63" t="str">
            <v>0</v>
          </cell>
          <cell r="CY63">
            <v>41982</v>
          </cell>
          <cell r="CZ63">
            <v>173051</v>
          </cell>
          <cell r="DA63">
            <v>0</v>
          </cell>
          <cell r="DB63">
            <v>0</v>
          </cell>
          <cell r="DC63">
            <v>173051</v>
          </cell>
        </row>
        <row r="64">
          <cell r="A64" t="str">
            <v>FS430</v>
          </cell>
          <cell r="B64" t="str">
            <v>Roshan Kumar Nayak</v>
          </cell>
          <cell r="C64" t="str">
            <v>Product Engineering</v>
          </cell>
          <cell r="D64" t="str">
            <v>16-08-2023</v>
          </cell>
          <cell r="E64" t="str">
            <v>N.A</v>
          </cell>
          <cell r="F64" t="str">
            <v>2025-10</v>
          </cell>
          <cell r="G64" t="str">
            <v>Success</v>
          </cell>
          <cell r="H64" t="str">
            <v>N.A</v>
          </cell>
          <cell r="I64" t="str">
            <v/>
          </cell>
          <cell r="J64" t="str">
            <v>30</v>
          </cell>
          <cell r="K64" t="str">
            <v>0</v>
          </cell>
          <cell r="L64" t="str">
            <v>0</v>
          </cell>
          <cell r="M64" t="str">
            <v>N.A</v>
          </cell>
          <cell r="N64" t="str">
            <v>0</v>
          </cell>
          <cell r="O64" t="str">
            <v>0</v>
          </cell>
          <cell r="P64" t="str">
            <v>30</v>
          </cell>
          <cell r="Q64" t="str">
            <v>30</v>
          </cell>
          <cell r="R64" t="str">
            <v>Software Development Engineer - I</v>
          </cell>
          <cell r="S64" t="str">
            <v>Delivery-IN</v>
          </cell>
          <cell r="T64" t="str">
            <v>Hyderabad</v>
          </cell>
          <cell r="U64" t="str">
            <v xml:space="preserve">Telangana </v>
          </cell>
          <cell r="V64" t="str">
            <v>50100455936458</v>
          </cell>
          <cell r="W64" t="str">
            <v>HDFC BANK</v>
          </cell>
          <cell r="X64" t="str">
            <v>89345</v>
          </cell>
          <cell r="Y64" t="str">
            <v>CGDPN9550R</v>
          </cell>
          <cell r="Z64" t="str">
            <v>36458</v>
          </cell>
          <cell r="AA64">
            <v>36458</v>
          </cell>
          <cell r="AB64">
            <v>0</v>
          </cell>
          <cell r="AC64">
            <v>14583</v>
          </cell>
          <cell r="AD64">
            <v>14583</v>
          </cell>
          <cell r="AE64">
            <v>0</v>
          </cell>
          <cell r="AF64">
            <v>4010</v>
          </cell>
          <cell r="AG64">
            <v>4010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9115</v>
          </cell>
          <cell r="AM64">
            <v>9115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25179</v>
          </cell>
          <cell r="AS64">
            <v>25179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 t="str">
            <v>0</v>
          </cell>
          <cell r="BF64">
            <v>0</v>
          </cell>
          <cell r="BG64">
            <v>0</v>
          </cell>
          <cell r="BH64">
            <v>89345</v>
          </cell>
          <cell r="BI64">
            <v>89345</v>
          </cell>
          <cell r="BJ64">
            <v>0</v>
          </cell>
          <cell r="BK64">
            <v>0</v>
          </cell>
          <cell r="BL64">
            <v>0</v>
          </cell>
          <cell r="BM64">
            <v>200</v>
          </cell>
          <cell r="BN64">
            <v>0</v>
          </cell>
          <cell r="BO64">
            <v>0</v>
          </cell>
          <cell r="BP64">
            <v>1800</v>
          </cell>
          <cell r="BQ64">
            <v>0</v>
          </cell>
          <cell r="BR64">
            <v>1800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 t="str">
            <v>0</v>
          </cell>
          <cell r="BZ64" t="str">
            <v>0</v>
          </cell>
          <cell r="CA64" t="str">
            <v>0</v>
          </cell>
          <cell r="CB64" t="str">
            <v>0</v>
          </cell>
          <cell r="CC64" t="str">
            <v>0</v>
          </cell>
          <cell r="CD64" t="str">
            <v>0</v>
          </cell>
          <cell r="CE64" t="str">
            <v>0</v>
          </cell>
          <cell r="CF64" t="str">
            <v>0</v>
          </cell>
          <cell r="CG64" t="str">
            <v>0</v>
          </cell>
          <cell r="CH64" t="str">
            <v>0</v>
          </cell>
          <cell r="CI64" t="str">
            <v>0</v>
          </cell>
          <cell r="CJ64" t="str">
            <v>0</v>
          </cell>
          <cell r="CK64" t="str">
            <v>0</v>
          </cell>
          <cell r="CL64" t="str">
            <v>0</v>
          </cell>
          <cell r="CM64" t="str">
            <v>0</v>
          </cell>
          <cell r="CN64" t="str">
            <v>0</v>
          </cell>
          <cell r="CO64" t="str">
            <v>0</v>
          </cell>
          <cell r="CP64" t="str">
            <v>0</v>
          </cell>
          <cell r="CQ64" t="str">
            <v>0</v>
          </cell>
          <cell r="CR64" t="str">
            <v>0</v>
          </cell>
          <cell r="CS64" t="str">
            <v>0</v>
          </cell>
          <cell r="CT64" t="str">
            <v>0</v>
          </cell>
          <cell r="CU64" t="str">
            <v>0</v>
          </cell>
          <cell r="CV64" t="str">
            <v>0</v>
          </cell>
          <cell r="CW64" t="str">
            <v>0</v>
          </cell>
          <cell r="CX64" t="str">
            <v>0</v>
          </cell>
          <cell r="CY64">
            <v>2000</v>
          </cell>
          <cell r="CZ64">
            <v>87345</v>
          </cell>
          <cell r="DA64">
            <v>0</v>
          </cell>
          <cell r="DB64">
            <v>0</v>
          </cell>
          <cell r="DC64">
            <v>87345</v>
          </cell>
        </row>
        <row r="65">
          <cell r="A65" t="str">
            <v>FS431</v>
          </cell>
          <cell r="B65" t="str">
            <v>Aishwarya Sanku</v>
          </cell>
          <cell r="C65" t="str">
            <v>Product Engineering</v>
          </cell>
          <cell r="D65" t="str">
            <v>16-08-2023</v>
          </cell>
          <cell r="E65" t="str">
            <v>N.A</v>
          </cell>
          <cell r="F65" t="str">
            <v>2025-10</v>
          </cell>
          <cell r="G65" t="str">
            <v>Success</v>
          </cell>
          <cell r="H65" t="str">
            <v>N.A</v>
          </cell>
          <cell r="I65" t="str">
            <v/>
          </cell>
          <cell r="J65" t="str">
            <v>30</v>
          </cell>
          <cell r="K65" t="str">
            <v>0</v>
          </cell>
          <cell r="L65" t="str">
            <v>0</v>
          </cell>
          <cell r="M65" t="str">
            <v>N.A</v>
          </cell>
          <cell r="N65" t="str">
            <v>0</v>
          </cell>
          <cell r="O65" t="str">
            <v>0</v>
          </cell>
          <cell r="P65" t="str">
            <v>30</v>
          </cell>
          <cell r="Q65" t="str">
            <v>30</v>
          </cell>
          <cell r="R65" t="str">
            <v>Software Development Engineer - I</v>
          </cell>
          <cell r="S65" t="str">
            <v>Delivery-IN</v>
          </cell>
          <cell r="T65" t="str">
            <v>Hyderabad</v>
          </cell>
          <cell r="U65" t="str">
            <v xml:space="preserve">Telangana </v>
          </cell>
          <cell r="V65" t="str">
            <v>50100455936560</v>
          </cell>
          <cell r="W65" t="str">
            <v>HDFC BANK</v>
          </cell>
          <cell r="X65" t="str">
            <v>89345</v>
          </cell>
          <cell r="Y65" t="str">
            <v>KUQPS1551E</v>
          </cell>
          <cell r="Z65" t="str">
            <v>36458</v>
          </cell>
          <cell r="AA65">
            <v>36458</v>
          </cell>
          <cell r="AB65">
            <v>0</v>
          </cell>
          <cell r="AC65">
            <v>14583</v>
          </cell>
          <cell r="AD65">
            <v>14583</v>
          </cell>
          <cell r="AE65">
            <v>0</v>
          </cell>
          <cell r="AF65">
            <v>4010</v>
          </cell>
          <cell r="AG65">
            <v>4010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9115</v>
          </cell>
          <cell r="AM65">
            <v>9115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25179</v>
          </cell>
          <cell r="AS65">
            <v>25179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 t="str">
            <v>0</v>
          </cell>
          <cell r="BF65">
            <v>0</v>
          </cell>
          <cell r="BG65">
            <v>0</v>
          </cell>
          <cell r="BH65">
            <v>89345</v>
          </cell>
          <cell r="BI65">
            <v>89345</v>
          </cell>
          <cell r="BJ65">
            <v>0</v>
          </cell>
          <cell r="BK65">
            <v>0</v>
          </cell>
          <cell r="BL65">
            <v>0</v>
          </cell>
          <cell r="BM65">
            <v>200</v>
          </cell>
          <cell r="BN65">
            <v>0</v>
          </cell>
          <cell r="BO65">
            <v>0</v>
          </cell>
          <cell r="BP65">
            <v>1800</v>
          </cell>
          <cell r="BQ65">
            <v>0</v>
          </cell>
          <cell r="BR65">
            <v>1800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 t="str">
            <v>0</v>
          </cell>
          <cell r="BZ65" t="str">
            <v>0</v>
          </cell>
          <cell r="CA65" t="str">
            <v>0</v>
          </cell>
          <cell r="CB65" t="str">
            <v>0</v>
          </cell>
          <cell r="CC65" t="str">
            <v>0</v>
          </cell>
          <cell r="CD65" t="str">
            <v>0</v>
          </cell>
          <cell r="CE65" t="str">
            <v>0</v>
          </cell>
          <cell r="CF65" t="str">
            <v>0</v>
          </cell>
          <cell r="CG65" t="str">
            <v>0</v>
          </cell>
          <cell r="CH65" t="str">
            <v>0</v>
          </cell>
          <cell r="CI65" t="str">
            <v>0</v>
          </cell>
          <cell r="CJ65" t="str">
            <v>0</v>
          </cell>
          <cell r="CK65" t="str">
            <v>0</v>
          </cell>
          <cell r="CL65" t="str">
            <v>0</v>
          </cell>
          <cell r="CM65" t="str">
            <v>0</v>
          </cell>
          <cell r="CN65" t="str">
            <v>0</v>
          </cell>
          <cell r="CO65" t="str">
            <v>0</v>
          </cell>
          <cell r="CP65" t="str">
            <v>0</v>
          </cell>
          <cell r="CQ65" t="str">
            <v>0</v>
          </cell>
          <cell r="CR65" t="str">
            <v>0</v>
          </cell>
          <cell r="CS65" t="str">
            <v>0</v>
          </cell>
          <cell r="CT65" t="str">
            <v>0</v>
          </cell>
          <cell r="CU65" t="str">
            <v>0</v>
          </cell>
          <cell r="CV65" t="str">
            <v>0</v>
          </cell>
          <cell r="CW65" t="str">
            <v>0</v>
          </cell>
          <cell r="CX65" t="str">
            <v>0</v>
          </cell>
          <cell r="CY65">
            <v>2000</v>
          </cell>
          <cell r="CZ65">
            <v>87345</v>
          </cell>
          <cell r="DA65">
            <v>0</v>
          </cell>
          <cell r="DB65">
            <v>0</v>
          </cell>
          <cell r="DC65">
            <v>87345</v>
          </cell>
        </row>
        <row r="66">
          <cell r="A66" t="str">
            <v>FS433</v>
          </cell>
          <cell r="B66" t="str">
            <v>Kuncha Sai</v>
          </cell>
          <cell r="C66" t="str">
            <v>Product Engineering</v>
          </cell>
          <cell r="D66" t="str">
            <v>16-08-2023</v>
          </cell>
          <cell r="E66" t="str">
            <v>N.A</v>
          </cell>
          <cell r="F66" t="str">
            <v>2025-10</v>
          </cell>
          <cell r="G66" t="str">
            <v>Success</v>
          </cell>
          <cell r="H66" t="str">
            <v>N.A</v>
          </cell>
          <cell r="I66" t="str">
            <v/>
          </cell>
          <cell r="J66" t="str">
            <v>30</v>
          </cell>
          <cell r="K66" t="str">
            <v>0</v>
          </cell>
          <cell r="L66" t="str">
            <v>0</v>
          </cell>
          <cell r="M66" t="str">
            <v>N.A</v>
          </cell>
          <cell r="N66" t="str">
            <v>0</v>
          </cell>
          <cell r="O66" t="str">
            <v>0</v>
          </cell>
          <cell r="P66" t="str">
            <v>30</v>
          </cell>
          <cell r="Q66" t="str">
            <v>30</v>
          </cell>
          <cell r="R66" t="str">
            <v>Software Engineer I</v>
          </cell>
          <cell r="S66" t="str">
            <v>Delivery-IN</v>
          </cell>
          <cell r="T66" t="str">
            <v>Hyderabad</v>
          </cell>
          <cell r="U66" t="str">
            <v xml:space="preserve">Telangana </v>
          </cell>
          <cell r="V66" t="str">
            <v>50100455936547</v>
          </cell>
          <cell r="W66" t="str">
            <v>HDFC BANK</v>
          </cell>
          <cell r="X66" t="str">
            <v>35766</v>
          </cell>
          <cell r="Y66" t="str">
            <v>MFOPS3525R</v>
          </cell>
          <cell r="Z66" t="str">
            <v>15027</v>
          </cell>
          <cell r="AA66">
            <v>15027</v>
          </cell>
          <cell r="AB66">
            <v>0</v>
          </cell>
          <cell r="AC66">
            <v>6011</v>
          </cell>
          <cell r="AD66">
            <v>6011</v>
          </cell>
          <cell r="AE66">
            <v>0</v>
          </cell>
          <cell r="AF66">
            <v>1653</v>
          </cell>
          <cell r="AG66">
            <v>1653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3757</v>
          </cell>
          <cell r="AM66">
            <v>3757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9318</v>
          </cell>
          <cell r="AS66">
            <v>9318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 t="str">
            <v>0</v>
          </cell>
          <cell r="BF66">
            <v>0</v>
          </cell>
          <cell r="BG66">
            <v>0</v>
          </cell>
          <cell r="BH66">
            <v>35766</v>
          </cell>
          <cell r="BI66">
            <v>35766</v>
          </cell>
          <cell r="BJ66">
            <v>0</v>
          </cell>
          <cell r="BK66">
            <v>0</v>
          </cell>
          <cell r="BL66">
            <v>0</v>
          </cell>
          <cell r="BM66">
            <v>200</v>
          </cell>
          <cell r="BN66">
            <v>0</v>
          </cell>
          <cell r="BO66">
            <v>0</v>
          </cell>
          <cell r="BP66">
            <v>1800</v>
          </cell>
          <cell r="BQ66">
            <v>0</v>
          </cell>
          <cell r="BR66">
            <v>1800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 t="str">
            <v>0</v>
          </cell>
          <cell r="BZ66" t="str">
            <v>0</v>
          </cell>
          <cell r="CA66" t="str">
            <v>0</v>
          </cell>
          <cell r="CB66" t="str">
            <v>0</v>
          </cell>
          <cell r="CC66" t="str">
            <v>0</v>
          </cell>
          <cell r="CD66" t="str">
            <v>0</v>
          </cell>
          <cell r="CE66" t="str">
            <v>0</v>
          </cell>
          <cell r="CF66" t="str">
            <v>0</v>
          </cell>
          <cell r="CG66" t="str">
            <v>0</v>
          </cell>
          <cell r="CH66" t="str">
            <v>0</v>
          </cell>
          <cell r="CI66" t="str">
            <v>0</v>
          </cell>
          <cell r="CJ66" t="str">
            <v>0</v>
          </cell>
          <cell r="CK66" t="str">
            <v>0</v>
          </cell>
          <cell r="CL66" t="str">
            <v>0</v>
          </cell>
          <cell r="CM66" t="str">
            <v>0</v>
          </cell>
          <cell r="CN66" t="str">
            <v>0</v>
          </cell>
          <cell r="CO66" t="str">
            <v>0</v>
          </cell>
          <cell r="CP66" t="str">
            <v>0</v>
          </cell>
          <cell r="CQ66" t="str">
            <v>0</v>
          </cell>
          <cell r="CR66" t="str">
            <v>0</v>
          </cell>
          <cell r="CS66" t="str">
            <v>0</v>
          </cell>
          <cell r="CT66" t="str">
            <v>0</v>
          </cell>
          <cell r="CU66" t="str">
            <v>0</v>
          </cell>
          <cell r="CV66" t="str">
            <v>0</v>
          </cell>
          <cell r="CW66" t="str">
            <v>0</v>
          </cell>
          <cell r="CX66" t="str">
            <v>0</v>
          </cell>
          <cell r="CY66">
            <v>2000</v>
          </cell>
          <cell r="CZ66">
            <v>33766</v>
          </cell>
          <cell r="DA66">
            <v>0</v>
          </cell>
          <cell r="DB66">
            <v>0</v>
          </cell>
          <cell r="DC66">
            <v>33766</v>
          </cell>
        </row>
        <row r="67">
          <cell r="A67" t="str">
            <v>FS434</v>
          </cell>
          <cell r="B67" t="str">
            <v>Priyakumari Ashokbhai Patel</v>
          </cell>
          <cell r="C67" t="str">
            <v>Product Engineering</v>
          </cell>
          <cell r="D67" t="str">
            <v>16-08-2023</v>
          </cell>
          <cell r="E67" t="str">
            <v>N.A</v>
          </cell>
          <cell r="F67" t="str">
            <v>2025-10</v>
          </cell>
          <cell r="G67" t="str">
            <v>Success</v>
          </cell>
          <cell r="H67" t="str">
            <v>N.A</v>
          </cell>
          <cell r="I67" t="str">
            <v/>
          </cell>
          <cell r="J67" t="str">
            <v>30</v>
          </cell>
          <cell r="K67" t="str">
            <v>0</v>
          </cell>
          <cell r="L67" t="str">
            <v>0</v>
          </cell>
          <cell r="M67" t="str">
            <v>N.A</v>
          </cell>
          <cell r="N67" t="str">
            <v>0</v>
          </cell>
          <cell r="O67" t="str">
            <v>0</v>
          </cell>
          <cell r="P67" t="str">
            <v>30</v>
          </cell>
          <cell r="Q67" t="str">
            <v>30</v>
          </cell>
          <cell r="R67" t="str">
            <v>Software Engineer I</v>
          </cell>
          <cell r="S67" t="str">
            <v>Delivery-IN</v>
          </cell>
          <cell r="T67" t="str">
            <v>Hyderabad</v>
          </cell>
          <cell r="U67" t="str">
            <v xml:space="preserve">Telangana </v>
          </cell>
          <cell r="V67" t="str">
            <v>50100652418331</v>
          </cell>
          <cell r="W67" t="str">
            <v>HDFC BANK</v>
          </cell>
          <cell r="X67" t="str">
            <v>73758</v>
          </cell>
          <cell r="Y67" t="str">
            <v>FZIPP9956G</v>
          </cell>
          <cell r="Z67" t="str">
            <v>30223</v>
          </cell>
          <cell r="AA67">
            <v>30223</v>
          </cell>
          <cell r="AB67">
            <v>0</v>
          </cell>
          <cell r="AC67">
            <v>12089</v>
          </cell>
          <cell r="AD67">
            <v>12089</v>
          </cell>
          <cell r="AE67">
            <v>0</v>
          </cell>
          <cell r="AF67">
            <v>3325</v>
          </cell>
          <cell r="AG67">
            <v>3325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7556</v>
          </cell>
          <cell r="AM67">
            <v>7556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20565</v>
          </cell>
          <cell r="AS67">
            <v>20565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 t="str">
            <v>0</v>
          </cell>
          <cell r="BF67">
            <v>0</v>
          </cell>
          <cell r="BG67">
            <v>0</v>
          </cell>
          <cell r="BH67">
            <v>73758</v>
          </cell>
          <cell r="BI67">
            <v>73758</v>
          </cell>
          <cell r="BJ67">
            <v>0</v>
          </cell>
          <cell r="BK67">
            <v>0</v>
          </cell>
          <cell r="BL67">
            <v>0</v>
          </cell>
          <cell r="BM67">
            <v>200</v>
          </cell>
          <cell r="BN67">
            <v>0</v>
          </cell>
          <cell r="BO67">
            <v>0</v>
          </cell>
          <cell r="BP67">
            <v>1800</v>
          </cell>
          <cell r="BQ67">
            <v>0</v>
          </cell>
          <cell r="BR67">
            <v>1800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 t="str">
            <v>0</v>
          </cell>
          <cell r="BZ67" t="str">
            <v>0</v>
          </cell>
          <cell r="CA67" t="str">
            <v>0</v>
          </cell>
          <cell r="CB67" t="str">
            <v>0</v>
          </cell>
          <cell r="CC67" t="str">
            <v>0</v>
          </cell>
          <cell r="CD67" t="str">
            <v>0</v>
          </cell>
          <cell r="CE67" t="str">
            <v>0</v>
          </cell>
          <cell r="CF67" t="str">
            <v>0</v>
          </cell>
          <cell r="CG67" t="str">
            <v>0</v>
          </cell>
          <cell r="CH67" t="str">
            <v>0</v>
          </cell>
          <cell r="CI67" t="str">
            <v>0</v>
          </cell>
          <cell r="CJ67" t="str">
            <v>0</v>
          </cell>
          <cell r="CK67" t="str">
            <v>0</v>
          </cell>
          <cell r="CL67" t="str">
            <v>0</v>
          </cell>
          <cell r="CM67" t="str">
            <v>0</v>
          </cell>
          <cell r="CN67" t="str">
            <v>0</v>
          </cell>
          <cell r="CO67" t="str">
            <v>0</v>
          </cell>
          <cell r="CP67" t="str">
            <v>0</v>
          </cell>
          <cell r="CQ67" t="str">
            <v>0</v>
          </cell>
          <cell r="CR67" t="str">
            <v>0</v>
          </cell>
          <cell r="CS67" t="str">
            <v>0</v>
          </cell>
          <cell r="CT67" t="str">
            <v>0</v>
          </cell>
          <cell r="CU67" t="str">
            <v>0</v>
          </cell>
          <cell r="CV67" t="str">
            <v>0</v>
          </cell>
          <cell r="CW67" t="str">
            <v>0</v>
          </cell>
          <cell r="CX67" t="str">
            <v>0</v>
          </cell>
          <cell r="CY67">
            <v>2000</v>
          </cell>
          <cell r="CZ67">
            <v>71758</v>
          </cell>
          <cell r="DA67">
            <v>0</v>
          </cell>
          <cell r="DB67">
            <v>0</v>
          </cell>
          <cell r="DC67">
            <v>71758</v>
          </cell>
        </row>
        <row r="68">
          <cell r="A68" t="str">
            <v>FS435</v>
          </cell>
          <cell r="B68" t="str">
            <v>Kakkammagari Dhamodharam</v>
          </cell>
          <cell r="C68" t="str">
            <v>Product Engineering</v>
          </cell>
          <cell r="D68" t="str">
            <v>23-08-2023</v>
          </cell>
          <cell r="E68" t="str">
            <v>N.A</v>
          </cell>
          <cell r="F68" t="str">
            <v>2025-10</v>
          </cell>
          <cell r="G68" t="str">
            <v>Success</v>
          </cell>
          <cell r="H68" t="str">
            <v>N.A</v>
          </cell>
          <cell r="I68" t="str">
            <v/>
          </cell>
          <cell r="J68" t="str">
            <v>30</v>
          </cell>
          <cell r="K68" t="str">
            <v>0</v>
          </cell>
          <cell r="L68" t="str">
            <v>0</v>
          </cell>
          <cell r="M68" t="str">
            <v>N.A</v>
          </cell>
          <cell r="N68" t="str">
            <v>0</v>
          </cell>
          <cell r="O68" t="str">
            <v>0</v>
          </cell>
          <cell r="P68" t="str">
            <v>30</v>
          </cell>
          <cell r="Q68" t="str">
            <v>30</v>
          </cell>
          <cell r="R68" t="str">
            <v>Software Development Engineer - I</v>
          </cell>
          <cell r="S68" t="str">
            <v>Delivery-IN</v>
          </cell>
          <cell r="T68" t="str">
            <v>Hyderabad</v>
          </cell>
          <cell r="U68" t="str">
            <v xml:space="preserve">Telangana </v>
          </cell>
          <cell r="V68" t="str">
            <v>50100658430359</v>
          </cell>
          <cell r="W68" t="str">
            <v>HDFC BANK</v>
          </cell>
          <cell r="X68" t="str">
            <v>89345</v>
          </cell>
          <cell r="Y68" t="str">
            <v>FLFPD9737L</v>
          </cell>
          <cell r="Z68" t="str">
            <v>36458</v>
          </cell>
          <cell r="AA68">
            <v>36458</v>
          </cell>
          <cell r="AB68">
            <v>0</v>
          </cell>
          <cell r="AC68">
            <v>14583</v>
          </cell>
          <cell r="AD68">
            <v>14583</v>
          </cell>
          <cell r="AE68">
            <v>0</v>
          </cell>
          <cell r="AF68">
            <v>4010</v>
          </cell>
          <cell r="AG68">
            <v>4010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9115</v>
          </cell>
          <cell r="AM68">
            <v>9115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25179</v>
          </cell>
          <cell r="AS68">
            <v>25179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 t="str">
            <v>0</v>
          </cell>
          <cell r="BF68">
            <v>0</v>
          </cell>
          <cell r="BG68">
            <v>0</v>
          </cell>
          <cell r="BH68">
            <v>89345</v>
          </cell>
          <cell r="BI68">
            <v>89345</v>
          </cell>
          <cell r="BJ68">
            <v>0</v>
          </cell>
          <cell r="BK68">
            <v>0</v>
          </cell>
          <cell r="BL68">
            <v>0</v>
          </cell>
          <cell r="BM68">
            <v>200</v>
          </cell>
          <cell r="BN68">
            <v>0</v>
          </cell>
          <cell r="BO68">
            <v>0</v>
          </cell>
          <cell r="BP68">
            <v>1800</v>
          </cell>
          <cell r="BQ68">
            <v>0</v>
          </cell>
          <cell r="BR68">
            <v>1800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str">
            <v>0</v>
          </cell>
          <cell r="BZ68" t="str">
            <v>0</v>
          </cell>
          <cell r="CA68" t="str">
            <v>0</v>
          </cell>
          <cell r="CB68" t="str">
            <v>0</v>
          </cell>
          <cell r="CC68" t="str">
            <v>0</v>
          </cell>
          <cell r="CD68" t="str">
            <v>0</v>
          </cell>
          <cell r="CE68" t="str">
            <v>0</v>
          </cell>
          <cell r="CF68" t="str">
            <v>0</v>
          </cell>
          <cell r="CG68" t="str">
            <v>0</v>
          </cell>
          <cell r="CH68" t="str">
            <v>0</v>
          </cell>
          <cell r="CI68" t="str">
            <v>0</v>
          </cell>
          <cell r="CJ68" t="str">
            <v>0</v>
          </cell>
          <cell r="CK68" t="str">
            <v>0</v>
          </cell>
          <cell r="CL68" t="str">
            <v>0</v>
          </cell>
          <cell r="CM68" t="str">
            <v>0</v>
          </cell>
          <cell r="CN68" t="str">
            <v>0</v>
          </cell>
          <cell r="CO68" t="str">
            <v>0</v>
          </cell>
          <cell r="CP68" t="str">
            <v>0</v>
          </cell>
          <cell r="CQ68" t="str">
            <v>0</v>
          </cell>
          <cell r="CR68" t="str">
            <v>0</v>
          </cell>
          <cell r="CS68" t="str">
            <v>0</v>
          </cell>
          <cell r="CT68" t="str">
            <v>0</v>
          </cell>
          <cell r="CU68" t="str">
            <v>0</v>
          </cell>
          <cell r="CV68" t="str">
            <v>0</v>
          </cell>
          <cell r="CW68" t="str">
            <v>0</v>
          </cell>
          <cell r="CX68" t="str">
            <v>0</v>
          </cell>
          <cell r="CY68">
            <v>2000</v>
          </cell>
          <cell r="CZ68">
            <v>87345</v>
          </cell>
          <cell r="DA68">
            <v>0</v>
          </cell>
          <cell r="DB68">
            <v>0</v>
          </cell>
          <cell r="DC68">
            <v>87345</v>
          </cell>
        </row>
        <row r="69">
          <cell r="A69" t="str">
            <v>FS436</v>
          </cell>
          <cell r="B69" t="str">
            <v>MUTHINENI MAHESH</v>
          </cell>
          <cell r="C69" t="str">
            <v>Product Engineering</v>
          </cell>
          <cell r="D69" t="str">
            <v>16-08-2023</v>
          </cell>
          <cell r="E69" t="str">
            <v>N.A</v>
          </cell>
          <cell r="F69" t="str">
            <v>2025-10</v>
          </cell>
          <cell r="G69" t="str">
            <v>Success</v>
          </cell>
          <cell r="H69" t="str">
            <v>N.A</v>
          </cell>
          <cell r="I69" t="str">
            <v/>
          </cell>
          <cell r="J69" t="str">
            <v>30</v>
          </cell>
          <cell r="K69" t="str">
            <v>0</v>
          </cell>
          <cell r="L69" t="str">
            <v>0</v>
          </cell>
          <cell r="M69" t="str">
            <v>N.A</v>
          </cell>
          <cell r="N69" t="str">
            <v>0</v>
          </cell>
          <cell r="O69" t="str">
            <v>0</v>
          </cell>
          <cell r="P69" t="str">
            <v>30</v>
          </cell>
          <cell r="Q69" t="str">
            <v>30</v>
          </cell>
          <cell r="R69" t="str">
            <v>Software Development Engineer - I</v>
          </cell>
          <cell r="S69" t="str">
            <v>Delivery-IN</v>
          </cell>
          <cell r="T69" t="str">
            <v>Hyderabad</v>
          </cell>
          <cell r="U69" t="str">
            <v xml:space="preserve">Telangana </v>
          </cell>
          <cell r="V69" t="str">
            <v>50100455936521</v>
          </cell>
          <cell r="W69" t="str">
            <v>HDFC BANK</v>
          </cell>
          <cell r="X69" t="str">
            <v>89345</v>
          </cell>
          <cell r="Y69" t="str">
            <v>GCDPM8733B</v>
          </cell>
          <cell r="Z69" t="str">
            <v>36458</v>
          </cell>
          <cell r="AA69">
            <v>36458</v>
          </cell>
          <cell r="AB69">
            <v>0</v>
          </cell>
          <cell r="AC69">
            <v>14583</v>
          </cell>
          <cell r="AD69">
            <v>14583</v>
          </cell>
          <cell r="AE69">
            <v>0</v>
          </cell>
          <cell r="AF69">
            <v>4010</v>
          </cell>
          <cell r="AG69">
            <v>4010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9115</v>
          </cell>
          <cell r="AM69">
            <v>9115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25179</v>
          </cell>
          <cell r="AS69">
            <v>25179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 t="str">
            <v>0</v>
          </cell>
          <cell r="BF69">
            <v>0</v>
          </cell>
          <cell r="BG69">
            <v>0</v>
          </cell>
          <cell r="BH69">
            <v>89345</v>
          </cell>
          <cell r="BI69">
            <v>89345</v>
          </cell>
          <cell r="BJ69">
            <v>0</v>
          </cell>
          <cell r="BK69">
            <v>0</v>
          </cell>
          <cell r="BL69">
            <v>0</v>
          </cell>
          <cell r="BM69">
            <v>200</v>
          </cell>
          <cell r="BN69">
            <v>0</v>
          </cell>
          <cell r="BO69">
            <v>0</v>
          </cell>
          <cell r="BP69">
            <v>1800</v>
          </cell>
          <cell r="BQ69">
            <v>0</v>
          </cell>
          <cell r="BR69">
            <v>1800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str">
            <v>0</v>
          </cell>
          <cell r="BZ69" t="str">
            <v>0</v>
          </cell>
          <cell r="CA69" t="str">
            <v>0</v>
          </cell>
          <cell r="CB69" t="str">
            <v>0</v>
          </cell>
          <cell r="CC69" t="str">
            <v>0</v>
          </cell>
          <cell r="CD69" t="str">
            <v>0</v>
          </cell>
          <cell r="CE69" t="str">
            <v>0</v>
          </cell>
          <cell r="CF69" t="str">
            <v>0</v>
          </cell>
          <cell r="CG69" t="str">
            <v>0</v>
          </cell>
          <cell r="CH69" t="str">
            <v>0</v>
          </cell>
          <cell r="CI69" t="str">
            <v>0</v>
          </cell>
          <cell r="CJ69" t="str">
            <v>0</v>
          </cell>
          <cell r="CK69" t="str">
            <v>0</v>
          </cell>
          <cell r="CL69" t="str">
            <v>0</v>
          </cell>
          <cell r="CM69" t="str">
            <v>0</v>
          </cell>
          <cell r="CN69" t="str">
            <v>0</v>
          </cell>
          <cell r="CO69" t="str">
            <v>0</v>
          </cell>
          <cell r="CP69" t="str">
            <v>0</v>
          </cell>
          <cell r="CQ69" t="str">
            <v>0</v>
          </cell>
          <cell r="CR69" t="str">
            <v>0</v>
          </cell>
          <cell r="CS69" t="str">
            <v>0</v>
          </cell>
          <cell r="CT69" t="str">
            <v>0</v>
          </cell>
          <cell r="CU69" t="str">
            <v>0</v>
          </cell>
          <cell r="CV69" t="str">
            <v>0</v>
          </cell>
          <cell r="CW69" t="str">
            <v>0</v>
          </cell>
          <cell r="CX69" t="str">
            <v>0</v>
          </cell>
          <cell r="CY69">
            <v>2000</v>
          </cell>
          <cell r="CZ69">
            <v>87345</v>
          </cell>
          <cell r="DA69">
            <v>0</v>
          </cell>
          <cell r="DB69">
            <v>0</v>
          </cell>
          <cell r="DC69">
            <v>87345</v>
          </cell>
        </row>
        <row r="70">
          <cell r="A70" t="str">
            <v>FS437</v>
          </cell>
          <cell r="B70" t="str">
            <v>Samudrala Datta Siva Sai</v>
          </cell>
          <cell r="C70" t="str">
            <v>Product Engineering</v>
          </cell>
          <cell r="D70" t="str">
            <v>16-08-2023</v>
          </cell>
          <cell r="E70" t="str">
            <v>N.A</v>
          </cell>
          <cell r="F70" t="str">
            <v>2025-10</v>
          </cell>
          <cell r="G70" t="str">
            <v>Success</v>
          </cell>
          <cell r="H70" t="str">
            <v>N.A</v>
          </cell>
          <cell r="I70" t="str">
            <v/>
          </cell>
          <cell r="J70" t="str">
            <v>30</v>
          </cell>
          <cell r="K70" t="str">
            <v>0</v>
          </cell>
          <cell r="L70" t="str">
            <v>0</v>
          </cell>
          <cell r="M70" t="str">
            <v>N.A</v>
          </cell>
          <cell r="N70" t="str">
            <v>0</v>
          </cell>
          <cell r="O70" t="str">
            <v>0</v>
          </cell>
          <cell r="P70" t="str">
            <v>30</v>
          </cell>
          <cell r="Q70" t="str">
            <v>30</v>
          </cell>
          <cell r="R70" t="str">
            <v>Software Development Engineer - I</v>
          </cell>
          <cell r="S70" t="str">
            <v>Delivery-IN</v>
          </cell>
          <cell r="T70" t="str">
            <v>Hyderabad</v>
          </cell>
          <cell r="U70" t="str">
            <v xml:space="preserve">Telangana </v>
          </cell>
          <cell r="V70" t="str">
            <v>50100455936599</v>
          </cell>
          <cell r="W70" t="str">
            <v>HDFC BANK</v>
          </cell>
          <cell r="X70" t="str">
            <v>89345</v>
          </cell>
          <cell r="Y70" t="str">
            <v>NFWPS5761A</v>
          </cell>
          <cell r="Z70" t="str">
            <v>36458</v>
          </cell>
          <cell r="AA70">
            <v>36458</v>
          </cell>
          <cell r="AB70">
            <v>0</v>
          </cell>
          <cell r="AC70">
            <v>14583</v>
          </cell>
          <cell r="AD70">
            <v>14583</v>
          </cell>
          <cell r="AE70">
            <v>0</v>
          </cell>
          <cell r="AF70">
            <v>4010</v>
          </cell>
          <cell r="AG70">
            <v>4010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9115</v>
          </cell>
          <cell r="AM70">
            <v>9115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25179</v>
          </cell>
          <cell r="AS70">
            <v>25179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 t="str">
            <v>0</v>
          </cell>
          <cell r="BF70">
            <v>0</v>
          </cell>
          <cell r="BG70">
            <v>0</v>
          </cell>
          <cell r="BH70">
            <v>89345</v>
          </cell>
          <cell r="BI70">
            <v>89345</v>
          </cell>
          <cell r="BJ70">
            <v>0</v>
          </cell>
          <cell r="BK70">
            <v>0</v>
          </cell>
          <cell r="BL70">
            <v>0</v>
          </cell>
          <cell r="BM70">
            <v>200</v>
          </cell>
          <cell r="BN70">
            <v>0</v>
          </cell>
          <cell r="BO70">
            <v>0</v>
          </cell>
          <cell r="BP70">
            <v>1800</v>
          </cell>
          <cell r="BQ70">
            <v>0</v>
          </cell>
          <cell r="BR70">
            <v>1800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str">
            <v>0</v>
          </cell>
          <cell r="BZ70" t="str">
            <v>0</v>
          </cell>
          <cell r="CA70" t="str">
            <v>0</v>
          </cell>
          <cell r="CB70" t="str">
            <v>0</v>
          </cell>
          <cell r="CC70" t="str">
            <v>0</v>
          </cell>
          <cell r="CD70" t="str">
            <v>0</v>
          </cell>
          <cell r="CE70" t="str">
            <v>0</v>
          </cell>
          <cell r="CF70" t="str">
            <v>0</v>
          </cell>
          <cell r="CG70" t="str">
            <v>0</v>
          </cell>
          <cell r="CH70" t="str">
            <v>0</v>
          </cell>
          <cell r="CI70" t="str">
            <v>0</v>
          </cell>
          <cell r="CJ70" t="str">
            <v>0</v>
          </cell>
          <cell r="CK70" t="str">
            <v>0</v>
          </cell>
          <cell r="CL70" t="str">
            <v>0</v>
          </cell>
          <cell r="CM70" t="str">
            <v>0</v>
          </cell>
          <cell r="CN70" t="str">
            <v>0</v>
          </cell>
          <cell r="CO70" t="str">
            <v>0</v>
          </cell>
          <cell r="CP70" t="str">
            <v>0</v>
          </cell>
          <cell r="CQ70" t="str">
            <v>0</v>
          </cell>
          <cell r="CR70" t="str">
            <v>0</v>
          </cell>
          <cell r="CS70" t="str">
            <v>0</v>
          </cell>
          <cell r="CT70" t="str">
            <v>0</v>
          </cell>
          <cell r="CU70" t="str">
            <v>0</v>
          </cell>
          <cell r="CV70" t="str">
            <v>0</v>
          </cell>
          <cell r="CW70" t="str">
            <v>0</v>
          </cell>
          <cell r="CX70" t="str">
            <v>0</v>
          </cell>
          <cell r="CY70">
            <v>2000</v>
          </cell>
          <cell r="CZ70">
            <v>87345</v>
          </cell>
          <cell r="DA70">
            <v>0</v>
          </cell>
          <cell r="DB70">
            <v>0</v>
          </cell>
          <cell r="DC70">
            <v>87345</v>
          </cell>
        </row>
        <row r="71">
          <cell r="A71" t="str">
            <v>FS438</v>
          </cell>
          <cell r="B71" t="str">
            <v>Sreenivasa H N</v>
          </cell>
          <cell r="C71" t="str">
            <v>Product Engineering</v>
          </cell>
          <cell r="D71" t="str">
            <v>16-08-2023</v>
          </cell>
          <cell r="E71" t="str">
            <v>N.A</v>
          </cell>
          <cell r="F71" t="str">
            <v>2025-10</v>
          </cell>
          <cell r="G71" t="str">
            <v>Success</v>
          </cell>
          <cell r="H71" t="str">
            <v>N.A</v>
          </cell>
          <cell r="I71" t="str">
            <v/>
          </cell>
          <cell r="J71" t="str">
            <v>30</v>
          </cell>
          <cell r="K71" t="str">
            <v>0</v>
          </cell>
          <cell r="L71" t="str">
            <v>0</v>
          </cell>
          <cell r="M71" t="str">
            <v>N.A</v>
          </cell>
          <cell r="N71" t="str">
            <v>0</v>
          </cell>
          <cell r="O71" t="str">
            <v>0</v>
          </cell>
          <cell r="P71" t="str">
            <v>30</v>
          </cell>
          <cell r="Q71" t="str">
            <v>30</v>
          </cell>
          <cell r="R71" t="str">
            <v>Software Development Engineer - I</v>
          </cell>
          <cell r="S71" t="str">
            <v>Delivery-IN</v>
          </cell>
          <cell r="T71" t="str">
            <v>Hyderabad</v>
          </cell>
          <cell r="U71" t="str">
            <v xml:space="preserve">Telangana </v>
          </cell>
          <cell r="V71" t="str">
            <v>50100653058569</v>
          </cell>
          <cell r="W71" t="str">
            <v>HDFC BANK</v>
          </cell>
          <cell r="X71" t="str">
            <v>73758</v>
          </cell>
          <cell r="Y71" t="str">
            <v>QZWPS4964N</v>
          </cell>
          <cell r="Z71" t="str">
            <v>30223</v>
          </cell>
          <cell r="AA71">
            <v>30223</v>
          </cell>
          <cell r="AB71">
            <v>0</v>
          </cell>
          <cell r="AC71">
            <v>12089</v>
          </cell>
          <cell r="AD71">
            <v>12089</v>
          </cell>
          <cell r="AE71">
            <v>0</v>
          </cell>
          <cell r="AF71">
            <v>3325</v>
          </cell>
          <cell r="AG71">
            <v>3325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7556</v>
          </cell>
          <cell r="AM71">
            <v>7556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20565</v>
          </cell>
          <cell r="AS71">
            <v>20565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 t="str">
            <v>0</v>
          </cell>
          <cell r="BF71">
            <v>0</v>
          </cell>
          <cell r="BG71">
            <v>0</v>
          </cell>
          <cell r="BH71">
            <v>73758</v>
          </cell>
          <cell r="BI71">
            <v>73758</v>
          </cell>
          <cell r="BJ71">
            <v>0</v>
          </cell>
          <cell r="BK71">
            <v>0</v>
          </cell>
          <cell r="BL71">
            <v>0</v>
          </cell>
          <cell r="BM71">
            <v>200</v>
          </cell>
          <cell r="BN71">
            <v>0</v>
          </cell>
          <cell r="BO71">
            <v>0</v>
          </cell>
          <cell r="BP71">
            <v>1800</v>
          </cell>
          <cell r="BQ71">
            <v>0</v>
          </cell>
          <cell r="BR71">
            <v>1800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 t="str">
            <v>0</v>
          </cell>
          <cell r="BZ71" t="str">
            <v>0</v>
          </cell>
          <cell r="CA71" t="str">
            <v>0</v>
          </cell>
          <cell r="CB71" t="str">
            <v>0</v>
          </cell>
          <cell r="CC71" t="str">
            <v>0</v>
          </cell>
          <cell r="CD71" t="str">
            <v>0</v>
          </cell>
          <cell r="CE71" t="str">
            <v>0</v>
          </cell>
          <cell r="CF71" t="str">
            <v>0</v>
          </cell>
          <cell r="CG71" t="str">
            <v>0</v>
          </cell>
          <cell r="CH71" t="str">
            <v>0</v>
          </cell>
          <cell r="CI71" t="str">
            <v>0</v>
          </cell>
          <cell r="CJ71" t="str">
            <v>0</v>
          </cell>
          <cell r="CK71" t="str">
            <v>0</v>
          </cell>
          <cell r="CL71" t="str">
            <v>0</v>
          </cell>
          <cell r="CM71" t="str">
            <v>0</v>
          </cell>
          <cell r="CN71" t="str">
            <v>0</v>
          </cell>
          <cell r="CO71" t="str">
            <v>0</v>
          </cell>
          <cell r="CP71" t="str">
            <v>0</v>
          </cell>
          <cell r="CQ71" t="str">
            <v>0</v>
          </cell>
          <cell r="CR71" t="str">
            <v>0</v>
          </cell>
          <cell r="CS71" t="str">
            <v>0</v>
          </cell>
          <cell r="CT71" t="str">
            <v>0</v>
          </cell>
          <cell r="CU71" t="str">
            <v>0</v>
          </cell>
          <cell r="CV71" t="str">
            <v>0</v>
          </cell>
          <cell r="CW71" t="str">
            <v>0</v>
          </cell>
          <cell r="CX71" t="str">
            <v>0</v>
          </cell>
          <cell r="CY71">
            <v>2000</v>
          </cell>
          <cell r="CZ71">
            <v>71758</v>
          </cell>
          <cell r="DA71">
            <v>0</v>
          </cell>
          <cell r="DB71">
            <v>0</v>
          </cell>
          <cell r="DC71">
            <v>71758</v>
          </cell>
        </row>
        <row r="72">
          <cell r="A72" t="str">
            <v>FS440</v>
          </cell>
          <cell r="B72" t="str">
            <v>Bevara Chandrasekhar</v>
          </cell>
          <cell r="C72" t="str">
            <v>Product Engineering</v>
          </cell>
          <cell r="D72" t="str">
            <v>16-08-2023</v>
          </cell>
          <cell r="E72" t="str">
            <v>N.A</v>
          </cell>
          <cell r="F72" t="str">
            <v>2025-10</v>
          </cell>
          <cell r="G72" t="str">
            <v>Success</v>
          </cell>
          <cell r="H72" t="str">
            <v>N.A</v>
          </cell>
          <cell r="I72" t="str">
            <v/>
          </cell>
          <cell r="J72" t="str">
            <v>30</v>
          </cell>
          <cell r="K72" t="str">
            <v>0</v>
          </cell>
          <cell r="L72" t="str">
            <v>0</v>
          </cell>
          <cell r="M72" t="str">
            <v>N.A</v>
          </cell>
          <cell r="N72" t="str">
            <v>0</v>
          </cell>
          <cell r="O72" t="str">
            <v>0</v>
          </cell>
          <cell r="P72" t="str">
            <v>30</v>
          </cell>
          <cell r="Q72" t="str">
            <v>30</v>
          </cell>
          <cell r="R72" t="str">
            <v>Software Development Engineer - I</v>
          </cell>
          <cell r="S72" t="str">
            <v>Delivery-IN</v>
          </cell>
          <cell r="T72" t="str">
            <v>Hyderabad</v>
          </cell>
          <cell r="U72" t="str">
            <v xml:space="preserve">Telangana </v>
          </cell>
          <cell r="V72" t="str">
            <v>50100595705421</v>
          </cell>
          <cell r="W72" t="str">
            <v>HDFC BANK</v>
          </cell>
          <cell r="X72" t="str">
            <v>73758</v>
          </cell>
          <cell r="Y72" t="str">
            <v>CGNPC5892F</v>
          </cell>
          <cell r="Z72" t="str">
            <v>30223</v>
          </cell>
          <cell r="AA72">
            <v>30223</v>
          </cell>
          <cell r="AB72">
            <v>0</v>
          </cell>
          <cell r="AC72">
            <v>12089</v>
          </cell>
          <cell r="AD72">
            <v>12089</v>
          </cell>
          <cell r="AE72">
            <v>0</v>
          </cell>
          <cell r="AF72">
            <v>3325</v>
          </cell>
          <cell r="AG72">
            <v>3325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7556</v>
          </cell>
          <cell r="AM72">
            <v>7556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20565</v>
          </cell>
          <cell r="AS72">
            <v>20565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 t="str">
            <v>0</v>
          </cell>
          <cell r="BF72">
            <v>0</v>
          </cell>
          <cell r="BG72">
            <v>0</v>
          </cell>
          <cell r="BH72">
            <v>73758</v>
          </cell>
          <cell r="BI72">
            <v>73758</v>
          </cell>
          <cell r="BJ72">
            <v>0</v>
          </cell>
          <cell r="BK72">
            <v>0</v>
          </cell>
          <cell r="BL72">
            <v>0</v>
          </cell>
          <cell r="BM72">
            <v>200</v>
          </cell>
          <cell r="BN72">
            <v>0</v>
          </cell>
          <cell r="BO72">
            <v>0</v>
          </cell>
          <cell r="BP72">
            <v>1800</v>
          </cell>
          <cell r="BQ72">
            <v>0</v>
          </cell>
          <cell r="BR72">
            <v>1800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str">
            <v>0</v>
          </cell>
          <cell r="BZ72" t="str">
            <v>0</v>
          </cell>
          <cell r="CA72" t="str">
            <v>0</v>
          </cell>
          <cell r="CB72" t="str">
            <v>0</v>
          </cell>
          <cell r="CC72" t="str">
            <v>0</v>
          </cell>
          <cell r="CD72" t="str">
            <v>0</v>
          </cell>
          <cell r="CE72" t="str">
            <v>0</v>
          </cell>
          <cell r="CF72" t="str">
            <v>0</v>
          </cell>
          <cell r="CG72" t="str">
            <v>0</v>
          </cell>
          <cell r="CH72" t="str">
            <v>0</v>
          </cell>
          <cell r="CI72" t="str">
            <v>0</v>
          </cell>
          <cell r="CJ72" t="str">
            <v>0</v>
          </cell>
          <cell r="CK72" t="str">
            <v>0</v>
          </cell>
          <cell r="CL72" t="str">
            <v>0</v>
          </cell>
          <cell r="CM72" t="str">
            <v>0</v>
          </cell>
          <cell r="CN72" t="str">
            <v>0</v>
          </cell>
          <cell r="CO72" t="str">
            <v>0</v>
          </cell>
          <cell r="CP72" t="str">
            <v>0</v>
          </cell>
          <cell r="CQ72" t="str">
            <v>0</v>
          </cell>
          <cell r="CR72" t="str">
            <v>0</v>
          </cell>
          <cell r="CS72" t="str">
            <v>0</v>
          </cell>
          <cell r="CT72" t="str">
            <v>0</v>
          </cell>
          <cell r="CU72" t="str">
            <v>0</v>
          </cell>
          <cell r="CV72" t="str">
            <v>0</v>
          </cell>
          <cell r="CW72" t="str">
            <v>0</v>
          </cell>
          <cell r="CX72" t="str">
            <v>0</v>
          </cell>
          <cell r="CY72">
            <v>2000</v>
          </cell>
          <cell r="CZ72">
            <v>71758</v>
          </cell>
          <cell r="DA72">
            <v>0</v>
          </cell>
          <cell r="DB72">
            <v>0</v>
          </cell>
          <cell r="DC72">
            <v>71758</v>
          </cell>
        </row>
        <row r="73">
          <cell r="A73" t="str">
            <v>FS442</v>
          </cell>
          <cell r="B73" t="str">
            <v>Rakesh Pernati</v>
          </cell>
          <cell r="C73" t="str">
            <v>Product Engineering</v>
          </cell>
          <cell r="D73" t="str">
            <v>16-08-2023</v>
          </cell>
          <cell r="E73" t="str">
            <v>N.A</v>
          </cell>
          <cell r="F73" t="str">
            <v>2025-10</v>
          </cell>
          <cell r="G73" t="str">
            <v>Success</v>
          </cell>
          <cell r="H73" t="str">
            <v>N.A</v>
          </cell>
          <cell r="I73" t="str">
            <v/>
          </cell>
          <cell r="J73" t="str">
            <v>30</v>
          </cell>
          <cell r="K73" t="str">
            <v>0</v>
          </cell>
          <cell r="L73" t="str">
            <v>0</v>
          </cell>
          <cell r="M73" t="str">
            <v>N.A</v>
          </cell>
          <cell r="N73" t="str">
            <v>0</v>
          </cell>
          <cell r="O73" t="str">
            <v>0</v>
          </cell>
          <cell r="P73" t="str">
            <v>30</v>
          </cell>
          <cell r="Q73" t="str">
            <v>30</v>
          </cell>
          <cell r="R73" t="str">
            <v>Software Development Engineer - I</v>
          </cell>
          <cell r="S73" t="str">
            <v>Delivery-IN</v>
          </cell>
          <cell r="T73" t="str">
            <v>Hyderabad</v>
          </cell>
          <cell r="U73" t="str">
            <v xml:space="preserve">Telangana </v>
          </cell>
          <cell r="V73" t="str">
            <v>50100455936432</v>
          </cell>
          <cell r="W73" t="str">
            <v>HDFC BANK</v>
          </cell>
          <cell r="X73" t="str">
            <v>81551</v>
          </cell>
          <cell r="Y73" t="str">
            <v>FCKPP6076A</v>
          </cell>
          <cell r="Z73" t="str">
            <v>33341</v>
          </cell>
          <cell r="AA73">
            <v>33341</v>
          </cell>
          <cell r="AB73">
            <v>0</v>
          </cell>
          <cell r="AC73">
            <v>13336</v>
          </cell>
          <cell r="AD73">
            <v>13336</v>
          </cell>
          <cell r="AE73">
            <v>0</v>
          </cell>
          <cell r="AF73">
            <v>3667</v>
          </cell>
          <cell r="AG73">
            <v>3667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8335</v>
          </cell>
          <cell r="AM73">
            <v>8335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22872</v>
          </cell>
          <cell r="AS73">
            <v>22872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 t="str">
            <v>0</v>
          </cell>
          <cell r="BF73">
            <v>0</v>
          </cell>
          <cell r="BG73">
            <v>0</v>
          </cell>
          <cell r="BH73">
            <v>81551</v>
          </cell>
          <cell r="BI73">
            <v>81551</v>
          </cell>
          <cell r="BJ73">
            <v>0</v>
          </cell>
          <cell r="BK73">
            <v>0</v>
          </cell>
          <cell r="BL73">
            <v>0</v>
          </cell>
          <cell r="BM73">
            <v>200</v>
          </cell>
          <cell r="BN73">
            <v>0</v>
          </cell>
          <cell r="BO73">
            <v>0</v>
          </cell>
          <cell r="BP73">
            <v>1800</v>
          </cell>
          <cell r="BQ73">
            <v>0</v>
          </cell>
          <cell r="BR73">
            <v>1800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str">
            <v>0</v>
          </cell>
          <cell r="BZ73" t="str">
            <v>0</v>
          </cell>
          <cell r="CA73" t="str">
            <v>0</v>
          </cell>
          <cell r="CB73" t="str">
            <v>0</v>
          </cell>
          <cell r="CC73" t="str">
            <v>0</v>
          </cell>
          <cell r="CD73" t="str">
            <v>0</v>
          </cell>
          <cell r="CE73" t="str">
            <v>0</v>
          </cell>
          <cell r="CF73" t="str">
            <v>0</v>
          </cell>
          <cell r="CG73" t="str">
            <v>0</v>
          </cell>
          <cell r="CH73" t="str">
            <v>0</v>
          </cell>
          <cell r="CI73" t="str">
            <v>0</v>
          </cell>
          <cell r="CJ73" t="str">
            <v>0</v>
          </cell>
          <cell r="CK73" t="str">
            <v>0</v>
          </cell>
          <cell r="CL73" t="str">
            <v>0</v>
          </cell>
          <cell r="CM73" t="str">
            <v>0</v>
          </cell>
          <cell r="CN73" t="str">
            <v>0</v>
          </cell>
          <cell r="CO73" t="str">
            <v>0</v>
          </cell>
          <cell r="CP73" t="str">
            <v>0</v>
          </cell>
          <cell r="CQ73" t="str">
            <v>0</v>
          </cell>
          <cell r="CR73" t="str">
            <v>0</v>
          </cell>
          <cell r="CS73" t="str">
            <v>0</v>
          </cell>
          <cell r="CT73" t="str">
            <v>0</v>
          </cell>
          <cell r="CU73" t="str">
            <v>0</v>
          </cell>
          <cell r="CV73" t="str">
            <v>0</v>
          </cell>
          <cell r="CW73" t="str">
            <v>0</v>
          </cell>
          <cell r="CX73" t="str">
            <v>0</v>
          </cell>
          <cell r="CY73">
            <v>2000</v>
          </cell>
          <cell r="CZ73">
            <v>79551</v>
          </cell>
          <cell r="DA73">
            <v>0</v>
          </cell>
          <cell r="DB73">
            <v>0</v>
          </cell>
          <cell r="DC73">
            <v>79551</v>
          </cell>
        </row>
        <row r="74">
          <cell r="A74" t="str">
            <v>FS443</v>
          </cell>
          <cell r="B74" t="str">
            <v>Kamireddy Siva Krishna Reddy</v>
          </cell>
          <cell r="C74" t="str">
            <v>Product Engineering</v>
          </cell>
          <cell r="D74" t="str">
            <v>16-08-2023</v>
          </cell>
          <cell r="E74" t="str">
            <v>N.A</v>
          </cell>
          <cell r="F74" t="str">
            <v>2025-10</v>
          </cell>
          <cell r="G74" t="str">
            <v>Success</v>
          </cell>
          <cell r="H74" t="str">
            <v>N.A</v>
          </cell>
          <cell r="I74" t="str">
            <v/>
          </cell>
          <cell r="J74" t="str">
            <v>30</v>
          </cell>
          <cell r="K74" t="str">
            <v>0</v>
          </cell>
          <cell r="L74" t="str">
            <v>0</v>
          </cell>
          <cell r="M74" t="str">
            <v>N.A</v>
          </cell>
          <cell r="N74" t="str">
            <v>0</v>
          </cell>
          <cell r="O74" t="str">
            <v>0</v>
          </cell>
          <cell r="P74" t="str">
            <v>30</v>
          </cell>
          <cell r="Q74" t="str">
            <v>30</v>
          </cell>
          <cell r="R74" t="str">
            <v>Software Development Engineer - I</v>
          </cell>
          <cell r="S74" t="str">
            <v>Delivery-IN</v>
          </cell>
          <cell r="T74" t="str">
            <v>Hyderabad</v>
          </cell>
          <cell r="U74" t="str">
            <v xml:space="preserve">Telangana </v>
          </cell>
          <cell r="V74" t="str">
            <v>50100595705418</v>
          </cell>
          <cell r="W74" t="str">
            <v>HDFC BANK</v>
          </cell>
          <cell r="X74" t="str">
            <v>73758</v>
          </cell>
          <cell r="Y74" t="str">
            <v>IHEPK7677G</v>
          </cell>
          <cell r="Z74" t="str">
            <v>30223</v>
          </cell>
          <cell r="AA74">
            <v>30223</v>
          </cell>
          <cell r="AB74">
            <v>0</v>
          </cell>
          <cell r="AC74">
            <v>12089</v>
          </cell>
          <cell r="AD74">
            <v>12089</v>
          </cell>
          <cell r="AE74">
            <v>0</v>
          </cell>
          <cell r="AF74">
            <v>3325</v>
          </cell>
          <cell r="AG74">
            <v>3325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7556</v>
          </cell>
          <cell r="AM74">
            <v>7556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20565</v>
          </cell>
          <cell r="AS74">
            <v>20565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 t="str">
            <v>0</v>
          </cell>
          <cell r="BF74">
            <v>0</v>
          </cell>
          <cell r="BG74">
            <v>0</v>
          </cell>
          <cell r="BH74">
            <v>73758</v>
          </cell>
          <cell r="BI74">
            <v>73758</v>
          </cell>
          <cell r="BJ74">
            <v>0</v>
          </cell>
          <cell r="BK74">
            <v>0</v>
          </cell>
          <cell r="BL74">
            <v>0</v>
          </cell>
          <cell r="BM74">
            <v>200</v>
          </cell>
          <cell r="BN74">
            <v>0</v>
          </cell>
          <cell r="BO74">
            <v>0</v>
          </cell>
          <cell r="BP74">
            <v>1800</v>
          </cell>
          <cell r="BQ74">
            <v>0</v>
          </cell>
          <cell r="BR74">
            <v>1800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 t="str">
            <v>0</v>
          </cell>
          <cell r="BZ74" t="str">
            <v>0</v>
          </cell>
          <cell r="CA74" t="str">
            <v>0</v>
          </cell>
          <cell r="CB74" t="str">
            <v>0</v>
          </cell>
          <cell r="CC74" t="str">
            <v>0</v>
          </cell>
          <cell r="CD74" t="str">
            <v>0</v>
          </cell>
          <cell r="CE74" t="str">
            <v>0</v>
          </cell>
          <cell r="CF74" t="str">
            <v>0</v>
          </cell>
          <cell r="CG74" t="str">
            <v>0</v>
          </cell>
          <cell r="CH74" t="str">
            <v>0</v>
          </cell>
          <cell r="CI74" t="str">
            <v>0</v>
          </cell>
          <cell r="CJ74" t="str">
            <v>0</v>
          </cell>
          <cell r="CK74" t="str">
            <v>0</v>
          </cell>
          <cell r="CL74" t="str">
            <v>0</v>
          </cell>
          <cell r="CM74" t="str">
            <v>0</v>
          </cell>
          <cell r="CN74" t="str">
            <v>0</v>
          </cell>
          <cell r="CO74" t="str">
            <v>0</v>
          </cell>
          <cell r="CP74" t="str">
            <v>0</v>
          </cell>
          <cell r="CQ74" t="str">
            <v>0</v>
          </cell>
          <cell r="CR74" t="str">
            <v>0</v>
          </cell>
          <cell r="CS74" t="str">
            <v>0</v>
          </cell>
          <cell r="CT74" t="str">
            <v>0</v>
          </cell>
          <cell r="CU74" t="str">
            <v>0</v>
          </cell>
          <cell r="CV74" t="str">
            <v>0</v>
          </cell>
          <cell r="CW74" t="str">
            <v>0</v>
          </cell>
          <cell r="CX74" t="str">
            <v>0</v>
          </cell>
          <cell r="CY74">
            <v>2000</v>
          </cell>
          <cell r="CZ74">
            <v>71758</v>
          </cell>
          <cell r="DA74">
            <v>0</v>
          </cell>
          <cell r="DB74">
            <v>0</v>
          </cell>
          <cell r="DC74">
            <v>71758</v>
          </cell>
        </row>
        <row r="75">
          <cell r="A75" t="str">
            <v>FS445</v>
          </cell>
          <cell r="B75" t="str">
            <v>Samundar Singh Rathore</v>
          </cell>
          <cell r="C75" t="str">
            <v>Product Engineering</v>
          </cell>
          <cell r="D75" t="str">
            <v>16-08-2023</v>
          </cell>
          <cell r="E75" t="str">
            <v>N.A</v>
          </cell>
          <cell r="F75" t="str">
            <v>2025-10</v>
          </cell>
          <cell r="G75" t="str">
            <v>Success</v>
          </cell>
          <cell r="H75" t="str">
            <v>N.A</v>
          </cell>
          <cell r="I75" t="str">
            <v/>
          </cell>
          <cell r="J75" t="str">
            <v>30</v>
          </cell>
          <cell r="K75" t="str">
            <v>0</v>
          </cell>
          <cell r="L75" t="str">
            <v>0</v>
          </cell>
          <cell r="M75" t="str">
            <v>N.A</v>
          </cell>
          <cell r="N75" t="str">
            <v>0</v>
          </cell>
          <cell r="O75" t="str">
            <v>0</v>
          </cell>
          <cell r="P75" t="str">
            <v>30</v>
          </cell>
          <cell r="Q75" t="str">
            <v>30</v>
          </cell>
          <cell r="R75" t="str">
            <v>Software Development Engineer - I</v>
          </cell>
          <cell r="S75" t="str">
            <v>Delivery-IN</v>
          </cell>
          <cell r="T75" t="str">
            <v>Hyderabad</v>
          </cell>
          <cell r="U75" t="str">
            <v xml:space="preserve">Telangana </v>
          </cell>
          <cell r="V75" t="str">
            <v>50100652418328</v>
          </cell>
          <cell r="W75" t="str">
            <v>HDFC BANK</v>
          </cell>
          <cell r="X75" t="str">
            <v>73758</v>
          </cell>
          <cell r="Y75" t="str">
            <v>DEZPR4144N</v>
          </cell>
          <cell r="Z75" t="str">
            <v>30223</v>
          </cell>
          <cell r="AA75">
            <v>30223</v>
          </cell>
          <cell r="AB75">
            <v>0</v>
          </cell>
          <cell r="AC75">
            <v>12089</v>
          </cell>
          <cell r="AD75">
            <v>12089</v>
          </cell>
          <cell r="AE75">
            <v>0</v>
          </cell>
          <cell r="AF75">
            <v>3325</v>
          </cell>
          <cell r="AG75">
            <v>3325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7556</v>
          </cell>
          <cell r="AM75">
            <v>7556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20565</v>
          </cell>
          <cell r="AS75">
            <v>20565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 t="str">
            <v>0</v>
          </cell>
          <cell r="BF75">
            <v>0</v>
          </cell>
          <cell r="BG75">
            <v>0</v>
          </cell>
          <cell r="BH75">
            <v>73758</v>
          </cell>
          <cell r="BI75">
            <v>73758</v>
          </cell>
          <cell r="BJ75">
            <v>0</v>
          </cell>
          <cell r="BK75">
            <v>0</v>
          </cell>
          <cell r="BL75">
            <v>0</v>
          </cell>
          <cell r="BM75">
            <v>200</v>
          </cell>
          <cell r="BN75">
            <v>0</v>
          </cell>
          <cell r="BO75">
            <v>0</v>
          </cell>
          <cell r="BP75">
            <v>1800</v>
          </cell>
          <cell r="BQ75">
            <v>0</v>
          </cell>
          <cell r="BR75">
            <v>1800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str">
            <v>0</v>
          </cell>
          <cell r="BZ75" t="str">
            <v>0</v>
          </cell>
          <cell r="CA75" t="str">
            <v>0</v>
          </cell>
          <cell r="CB75" t="str">
            <v>0</v>
          </cell>
          <cell r="CC75" t="str">
            <v>0</v>
          </cell>
          <cell r="CD75" t="str">
            <v>0</v>
          </cell>
          <cell r="CE75" t="str">
            <v>0</v>
          </cell>
          <cell r="CF75" t="str">
            <v>0</v>
          </cell>
          <cell r="CG75" t="str">
            <v>0</v>
          </cell>
          <cell r="CH75" t="str">
            <v>0</v>
          </cell>
          <cell r="CI75" t="str">
            <v>0</v>
          </cell>
          <cell r="CJ75" t="str">
            <v>0</v>
          </cell>
          <cell r="CK75" t="str">
            <v>0</v>
          </cell>
          <cell r="CL75" t="str">
            <v>0</v>
          </cell>
          <cell r="CM75" t="str">
            <v>0</v>
          </cell>
          <cell r="CN75" t="str">
            <v>0</v>
          </cell>
          <cell r="CO75" t="str">
            <v>0</v>
          </cell>
          <cell r="CP75" t="str">
            <v>0</v>
          </cell>
          <cell r="CQ75" t="str">
            <v>0</v>
          </cell>
          <cell r="CR75" t="str">
            <v>0</v>
          </cell>
          <cell r="CS75" t="str">
            <v>0</v>
          </cell>
          <cell r="CT75" t="str">
            <v>0</v>
          </cell>
          <cell r="CU75" t="str">
            <v>0</v>
          </cell>
          <cell r="CV75" t="str">
            <v>0</v>
          </cell>
          <cell r="CW75" t="str">
            <v>0</v>
          </cell>
          <cell r="CX75" t="str">
            <v>0</v>
          </cell>
          <cell r="CY75">
            <v>2000</v>
          </cell>
          <cell r="CZ75">
            <v>71758</v>
          </cell>
          <cell r="DA75">
            <v>0</v>
          </cell>
          <cell r="DB75">
            <v>0</v>
          </cell>
          <cell r="DC75">
            <v>71758</v>
          </cell>
        </row>
        <row r="76">
          <cell r="A76" t="str">
            <v>FS447</v>
          </cell>
          <cell r="B76" t="str">
            <v>SHARATH LS</v>
          </cell>
          <cell r="C76" t="str">
            <v>Quality Engineering</v>
          </cell>
          <cell r="D76" t="str">
            <v>16-08-2023</v>
          </cell>
          <cell r="E76" t="str">
            <v>N.A</v>
          </cell>
          <cell r="F76" t="str">
            <v>2025-10</v>
          </cell>
          <cell r="G76" t="str">
            <v>Success</v>
          </cell>
          <cell r="H76" t="str">
            <v>N.A</v>
          </cell>
          <cell r="I76" t="str">
            <v/>
          </cell>
          <cell r="J76" t="str">
            <v>30</v>
          </cell>
          <cell r="K76" t="str">
            <v>0</v>
          </cell>
          <cell r="L76" t="str">
            <v>0</v>
          </cell>
          <cell r="M76" t="str">
            <v>N.A</v>
          </cell>
          <cell r="N76" t="str">
            <v>0</v>
          </cell>
          <cell r="O76" t="str">
            <v>0</v>
          </cell>
          <cell r="P76" t="str">
            <v>30</v>
          </cell>
          <cell r="Q76" t="str">
            <v>30</v>
          </cell>
          <cell r="R76" t="str">
            <v>Software Development Engineer in Test - I</v>
          </cell>
          <cell r="S76" t="str">
            <v>Support Function-IN</v>
          </cell>
          <cell r="T76" t="str">
            <v>Hyderabad</v>
          </cell>
          <cell r="U76" t="str">
            <v xml:space="preserve">Telangana </v>
          </cell>
          <cell r="V76" t="str">
            <v>50100652418370</v>
          </cell>
          <cell r="W76" t="str">
            <v>HDFC BANK</v>
          </cell>
          <cell r="X76" t="str">
            <v>89345</v>
          </cell>
          <cell r="Y76" t="str">
            <v>NKSPS4628K</v>
          </cell>
          <cell r="Z76" t="str">
            <v>36458</v>
          </cell>
          <cell r="AA76">
            <v>36458</v>
          </cell>
          <cell r="AB76">
            <v>0</v>
          </cell>
          <cell r="AC76">
            <v>14583</v>
          </cell>
          <cell r="AD76">
            <v>14583</v>
          </cell>
          <cell r="AE76">
            <v>0</v>
          </cell>
          <cell r="AF76">
            <v>4010</v>
          </cell>
          <cell r="AG76">
            <v>4010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9115</v>
          </cell>
          <cell r="AM76">
            <v>9115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25179</v>
          </cell>
          <cell r="AS76">
            <v>25179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 t="str">
            <v>0</v>
          </cell>
          <cell r="BF76">
            <v>0</v>
          </cell>
          <cell r="BG76">
            <v>0</v>
          </cell>
          <cell r="BH76">
            <v>89345</v>
          </cell>
          <cell r="BI76">
            <v>89345</v>
          </cell>
          <cell r="BJ76">
            <v>0</v>
          </cell>
          <cell r="BK76">
            <v>0</v>
          </cell>
          <cell r="BL76">
            <v>0</v>
          </cell>
          <cell r="BM76">
            <v>200</v>
          </cell>
          <cell r="BN76">
            <v>0</v>
          </cell>
          <cell r="BO76">
            <v>0</v>
          </cell>
          <cell r="BP76">
            <v>1800</v>
          </cell>
          <cell r="BQ76">
            <v>0</v>
          </cell>
          <cell r="BR76">
            <v>1800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str">
            <v>0</v>
          </cell>
          <cell r="BZ76" t="str">
            <v>0</v>
          </cell>
          <cell r="CA76" t="str">
            <v>0</v>
          </cell>
          <cell r="CB76" t="str">
            <v>0</v>
          </cell>
          <cell r="CC76" t="str">
            <v>0</v>
          </cell>
          <cell r="CD76" t="str">
            <v>0</v>
          </cell>
          <cell r="CE76" t="str">
            <v>0</v>
          </cell>
          <cell r="CF76" t="str">
            <v>0</v>
          </cell>
          <cell r="CG76" t="str">
            <v>0</v>
          </cell>
          <cell r="CH76" t="str">
            <v>0</v>
          </cell>
          <cell r="CI76" t="str">
            <v>0</v>
          </cell>
          <cell r="CJ76" t="str">
            <v>0</v>
          </cell>
          <cell r="CK76" t="str">
            <v>0</v>
          </cell>
          <cell r="CL76" t="str">
            <v>0</v>
          </cell>
          <cell r="CM76" t="str">
            <v>0</v>
          </cell>
          <cell r="CN76" t="str">
            <v>0</v>
          </cell>
          <cell r="CO76" t="str">
            <v>0</v>
          </cell>
          <cell r="CP76" t="str">
            <v>0</v>
          </cell>
          <cell r="CQ76" t="str">
            <v>0</v>
          </cell>
          <cell r="CR76" t="str">
            <v>0</v>
          </cell>
          <cell r="CS76" t="str">
            <v>0</v>
          </cell>
          <cell r="CT76" t="str">
            <v>0</v>
          </cell>
          <cell r="CU76" t="str">
            <v>0</v>
          </cell>
          <cell r="CV76" t="str">
            <v>0</v>
          </cell>
          <cell r="CW76" t="str">
            <v>0</v>
          </cell>
          <cell r="CX76" t="str">
            <v>0</v>
          </cell>
          <cell r="CY76">
            <v>2000</v>
          </cell>
          <cell r="CZ76">
            <v>87345</v>
          </cell>
          <cell r="DA76">
            <v>0</v>
          </cell>
          <cell r="DB76">
            <v>0</v>
          </cell>
          <cell r="DC76">
            <v>87345</v>
          </cell>
        </row>
        <row r="77">
          <cell r="A77" t="str">
            <v>FS448</v>
          </cell>
          <cell r="B77" t="str">
            <v>Venna Siva Sankar Reddy</v>
          </cell>
          <cell r="C77" t="str">
            <v>Product Engineering</v>
          </cell>
          <cell r="D77" t="str">
            <v>16-08-2023</v>
          </cell>
          <cell r="E77" t="str">
            <v>N.A</v>
          </cell>
          <cell r="F77" t="str">
            <v>2025-10</v>
          </cell>
          <cell r="G77" t="str">
            <v>Success</v>
          </cell>
          <cell r="H77" t="str">
            <v>N.A</v>
          </cell>
          <cell r="I77" t="str">
            <v/>
          </cell>
          <cell r="J77" t="str">
            <v>30</v>
          </cell>
          <cell r="K77" t="str">
            <v>0</v>
          </cell>
          <cell r="L77" t="str">
            <v>0</v>
          </cell>
          <cell r="M77" t="str">
            <v>N.A</v>
          </cell>
          <cell r="N77" t="str">
            <v>0</v>
          </cell>
          <cell r="O77" t="str">
            <v>0</v>
          </cell>
          <cell r="P77" t="str">
            <v>30</v>
          </cell>
          <cell r="Q77" t="str">
            <v>30</v>
          </cell>
          <cell r="R77" t="str">
            <v>Software Development Engineer - I</v>
          </cell>
          <cell r="S77" t="str">
            <v>Delivery-IN</v>
          </cell>
          <cell r="T77" t="str">
            <v>Hyderabad</v>
          </cell>
          <cell r="U77" t="str">
            <v xml:space="preserve">Telangana </v>
          </cell>
          <cell r="V77" t="str">
            <v>50100653058520</v>
          </cell>
          <cell r="W77" t="str">
            <v>HDFC BANK</v>
          </cell>
          <cell r="X77" t="str">
            <v>73758</v>
          </cell>
          <cell r="Y77" t="str">
            <v>PAVPS5777Q</v>
          </cell>
          <cell r="Z77" t="str">
            <v>30223</v>
          </cell>
          <cell r="AA77">
            <v>30223</v>
          </cell>
          <cell r="AB77">
            <v>0</v>
          </cell>
          <cell r="AC77">
            <v>12089</v>
          </cell>
          <cell r="AD77">
            <v>12089</v>
          </cell>
          <cell r="AE77">
            <v>0</v>
          </cell>
          <cell r="AF77">
            <v>3325</v>
          </cell>
          <cell r="AG77">
            <v>3325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7556</v>
          </cell>
          <cell r="AM77">
            <v>7556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20565</v>
          </cell>
          <cell r="AS77">
            <v>20565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 t="str">
            <v>0</v>
          </cell>
          <cell r="BF77">
            <v>0</v>
          </cell>
          <cell r="BG77">
            <v>0</v>
          </cell>
          <cell r="BH77">
            <v>73758</v>
          </cell>
          <cell r="BI77">
            <v>73758</v>
          </cell>
          <cell r="BJ77">
            <v>0</v>
          </cell>
          <cell r="BK77">
            <v>0</v>
          </cell>
          <cell r="BL77">
            <v>0</v>
          </cell>
          <cell r="BM77">
            <v>200</v>
          </cell>
          <cell r="BN77">
            <v>0</v>
          </cell>
          <cell r="BO77">
            <v>0</v>
          </cell>
          <cell r="BP77">
            <v>1800</v>
          </cell>
          <cell r="BQ77">
            <v>0</v>
          </cell>
          <cell r="BR77">
            <v>1800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str">
            <v>0</v>
          </cell>
          <cell r="BZ77" t="str">
            <v>0</v>
          </cell>
          <cell r="CA77" t="str">
            <v>0</v>
          </cell>
          <cell r="CB77" t="str">
            <v>0</v>
          </cell>
          <cell r="CC77" t="str">
            <v>0</v>
          </cell>
          <cell r="CD77" t="str">
            <v>0</v>
          </cell>
          <cell r="CE77" t="str">
            <v>0</v>
          </cell>
          <cell r="CF77" t="str">
            <v>0</v>
          </cell>
          <cell r="CG77" t="str">
            <v>0</v>
          </cell>
          <cell r="CH77" t="str">
            <v>0</v>
          </cell>
          <cell r="CI77" t="str">
            <v>0</v>
          </cell>
          <cell r="CJ77" t="str">
            <v>0</v>
          </cell>
          <cell r="CK77" t="str">
            <v>0</v>
          </cell>
          <cell r="CL77" t="str">
            <v>0</v>
          </cell>
          <cell r="CM77" t="str">
            <v>0</v>
          </cell>
          <cell r="CN77" t="str">
            <v>0</v>
          </cell>
          <cell r="CO77" t="str">
            <v>0</v>
          </cell>
          <cell r="CP77" t="str">
            <v>0</v>
          </cell>
          <cell r="CQ77" t="str">
            <v>0</v>
          </cell>
          <cell r="CR77" t="str">
            <v>0</v>
          </cell>
          <cell r="CS77" t="str">
            <v>0</v>
          </cell>
          <cell r="CT77" t="str">
            <v>0</v>
          </cell>
          <cell r="CU77" t="str">
            <v>0</v>
          </cell>
          <cell r="CV77" t="str">
            <v>0</v>
          </cell>
          <cell r="CW77" t="str">
            <v>0</v>
          </cell>
          <cell r="CX77" t="str">
            <v>0</v>
          </cell>
          <cell r="CY77">
            <v>2000</v>
          </cell>
          <cell r="CZ77">
            <v>71758</v>
          </cell>
          <cell r="DA77">
            <v>0</v>
          </cell>
          <cell r="DB77">
            <v>0</v>
          </cell>
          <cell r="DC77">
            <v>71758</v>
          </cell>
        </row>
        <row r="78">
          <cell r="A78" t="str">
            <v>FS449</v>
          </cell>
          <cell r="B78" t="str">
            <v>Akash HN</v>
          </cell>
          <cell r="C78" t="str">
            <v>Quality Engineering</v>
          </cell>
          <cell r="D78" t="str">
            <v>16-08-2023</v>
          </cell>
          <cell r="E78" t="str">
            <v>N.A</v>
          </cell>
          <cell r="F78" t="str">
            <v>2025-10</v>
          </cell>
          <cell r="G78" t="str">
            <v>Success</v>
          </cell>
          <cell r="H78" t="str">
            <v>N.A</v>
          </cell>
          <cell r="I78" t="str">
            <v/>
          </cell>
          <cell r="J78" t="str">
            <v>30</v>
          </cell>
          <cell r="K78" t="str">
            <v>0</v>
          </cell>
          <cell r="L78" t="str">
            <v>0</v>
          </cell>
          <cell r="M78" t="str">
            <v>N.A</v>
          </cell>
          <cell r="N78" t="str">
            <v>0</v>
          </cell>
          <cell r="O78" t="str">
            <v>0</v>
          </cell>
          <cell r="P78" t="str">
            <v>30</v>
          </cell>
          <cell r="Q78" t="str">
            <v>30</v>
          </cell>
          <cell r="R78" t="str">
            <v>Software Development Engineer in Test - I</v>
          </cell>
          <cell r="S78" t="str">
            <v>Support Function-IN</v>
          </cell>
          <cell r="T78" t="str">
            <v>Hyderabad</v>
          </cell>
          <cell r="U78" t="str">
            <v xml:space="preserve">Telangana </v>
          </cell>
          <cell r="V78" t="str">
            <v>50100653057681</v>
          </cell>
          <cell r="W78" t="str">
            <v>HDFC BANK</v>
          </cell>
          <cell r="X78" t="str">
            <v>89345</v>
          </cell>
          <cell r="Y78" t="str">
            <v>CMNPA1976Q</v>
          </cell>
          <cell r="Z78" t="str">
            <v>36458</v>
          </cell>
          <cell r="AA78">
            <v>36458</v>
          </cell>
          <cell r="AB78">
            <v>0</v>
          </cell>
          <cell r="AC78">
            <v>14583</v>
          </cell>
          <cell r="AD78">
            <v>14583</v>
          </cell>
          <cell r="AE78">
            <v>0</v>
          </cell>
          <cell r="AF78">
            <v>4010</v>
          </cell>
          <cell r="AG78">
            <v>4010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9115</v>
          </cell>
          <cell r="AM78">
            <v>9115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25179</v>
          </cell>
          <cell r="AS78">
            <v>25179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 t="str">
            <v>0</v>
          </cell>
          <cell r="BF78">
            <v>0</v>
          </cell>
          <cell r="BG78">
            <v>0</v>
          </cell>
          <cell r="BH78">
            <v>89345</v>
          </cell>
          <cell r="BI78">
            <v>89345</v>
          </cell>
          <cell r="BJ78">
            <v>0</v>
          </cell>
          <cell r="BK78">
            <v>0</v>
          </cell>
          <cell r="BL78">
            <v>0</v>
          </cell>
          <cell r="BM78">
            <v>200</v>
          </cell>
          <cell r="BN78">
            <v>0</v>
          </cell>
          <cell r="BO78">
            <v>0</v>
          </cell>
          <cell r="BP78">
            <v>1800</v>
          </cell>
          <cell r="BQ78">
            <v>0</v>
          </cell>
          <cell r="BR78">
            <v>1800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str">
            <v>0</v>
          </cell>
          <cell r="BZ78" t="str">
            <v>0</v>
          </cell>
          <cell r="CA78" t="str">
            <v>0</v>
          </cell>
          <cell r="CB78" t="str">
            <v>0</v>
          </cell>
          <cell r="CC78" t="str">
            <v>0</v>
          </cell>
          <cell r="CD78" t="str">
            <v>0</v>
          </cell>
          <cell r="CE78" t="str">
            <v>0</v>
          </cell>
          <cell r="CF78" t="str">
            <v>0</v>
          </cell>
          <cell r="CG78" t="str">
            <v>0</v>
          </cell>
          <cell r="CH78" t="str">
            <v>0</v>
          </cell>
          <cell r="CI78" t="str">
            <v>0</v>
          </cell>
          <cell r="CJ78" t="str">
            <v>0</v>
          </cell>
          <cell r="CK78" t="str">
            <v>0</v>
          </cell>
          <cell r="CL78" t="str">
            <v>0</v>
          </cell>
          <cell r="CM78" t="str">
            <v>0</v>
          </cell>
          <cell r="CN78" t="str">
            <v>0</v>
          </cell>
          <cell r="CO78" t="str">
            <v>0</v>
          </cell>
          <cell r="CP78" t="str">
            <v>0</v>
          </cell>
          <cell r="CQ78" t="str">
            <v>0</v>
          </cell>
          <cell r="CR78" t="str">
            <v>0</v>
          </cell>
          <cell r="CS78" t="str">
            <v>0</v>
          </cell>
          <cell r="CT78" t="str">
            <v>0</v>
          </cell>
          <cell r="CU78" t="str">
            <v>0</v>
          </cell>
          <cell r="CV78" t="str">
            <v>0</v>
          </cell>
          <cell r="CW78" t="str">
            <v>0</v>
          </cell>
          <cell r="CX78" t="str">
            <v>0</v>
          </cell>
          <cell r="CY78">
            <v>2000</v>
          </cell>
          <cell r="CZ78">
            <v>87345</v>
          </cell>
          <cell r="DA78">
            <v>0</v>
          </cell>
          <cell r="DB78">
            <v>0</v>
          </cell>
          <cell r="DC78">
            <v>87345</v>
          </cell>
        </row>
        <row r="79">
          <cell r="A79" t="str">
            <v>FS450</v>
          </cell>
          <cell r="B79" t="str">
            <v>Rasamsetti Karthik Raja</v>
          </cell>
          <cell r="C79" t="str">
            <v>Quality Engineering</v>
          </cell>
          <cell r="D79" t="str">
            <v>16-08-2023</v>
          </cell>
          <cell r="E79" t="str">
            <v>N.A</v>
          </cell>
          <cell r="F79" t="str">
            <v>2025-10</v>
          </cell>
          <cell r="G79" t="str">
            <v>Success</v>
          </cell>
          <cell r="H79" t="str">
            <v>N.A</v>
          </cell>
          <cell r="I79" t="str">
            <v/>
          </cell>
          <cell r="J79" t="str">
            <v>30</v>
          </cell>
          <cell r="K79" t="str">
            <v>0</v>
          </cell>
          <cell r="L79" t="str">
            <v>0</v>
          </cell>
          <cell r="M79" t="str">
            <v>N.A</v>
          </cell>
          <cell r="N79" t="str">
            <v>0</v>
          </cell>
          <cell r="O79" t="str">
            <v>0</v>
          </cell>
          <cell r="P79" t="str">
            <v>30</v>
          </cell>
          <cell r="Q79" t="str">
            <v>30</v>
          </cell>
          <cell r="R79" t="str">
            <v>Software Engineer I</v>
          </cell>
          <cell r="S79" t="str">
            <v>Delivery-IN</v>
          </cell>
          <cell r="T79" t="str">
            <v>Hyderabad</v>
          </cell>
          <cell r="U79" t="str">
            <v xml:space="preserve">Telangana </v>
          </cell>
          <cell r="V79" t="str">
            <v>50100653057247</v>
          </cell>
          <cell r="W79" t="str">
            <v>HDFC BANK</v>
          </cell>
          <cell r="X79" t="str">
            <v>32496</v>
          </cell>
          <cell r="Y79" t="str">
            <v>FFFPR0291D</v>
          </cell>
          <cell r="Z79" t="str">
            <v>13718</v>
          </cell>
          <cell r="AA79">
            <v>13718</v>
          </cell>
          <cell r="AB79">
            <v>0</v>
          </cell>
          <cell r="AC79">
            <v>5487</v>
          </cell>
          <cell r="AD79">
            <v>5487</v>
          </cell>
          <cell r="AE79">
            <v>0</v>
          </cell>
          <cell r="AF79">
            <v>1509</v>
          </cell>
          <cell r="AG79">
            <v>1509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3430</v>
          </cell>
          <cell r="AM79">
            <v>3430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8352</v>
          </cell>
          <cell r="AS79">
            <v>8352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 t="str">
            <v>0</v>
          </cell>
          <cell r="BF79">
            <v>0</v>
          </cell>
          <cell r="BG79">
            <v>0</v>
          </cell>
          <cell r="BH79">
            <v>32496</v>
          </cell>
          <cell r="BI79">
            <v>32496</v>
          </cell>
          <cell r="BJ79">
            <v>0</v>
          </cell>
          <cell r="BK79">
            <v>0</v>
          </cell>
          <cell r="BL79">
            <v>0</v>
          </cell>
          <cell r="BM79">
            <v>200</v>
          </cell>
          <cell r="BN79">
            <v>0</v>
          </cell>
          <cell r="BO79">
            <v>0</v>
          </cell>
          <cell r="BP79">
            <v>1800</v>
          </cell>
          <cell r="BQ79">
            <v>0</v>
          </cell>
          <cell r="BR79">
            <v>1800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str">
            <v>0</v>
          </cell>
          <cell r="BZ79" t="str">
            <v>0</v>
          </cell>
          <cell r="CA79" t="str">
            <v>0</v>
          </cell>
          <cell r="CB79" t="str">
            <v>0</v>
          </cell>
          <cell r="CC79" t="str">
            <v>0</v>
          </cell>
          <cell r="CD79" t="str">
            <v>0</v>
          </cell>
          <cell r="CE79" t="str">
            <v>0</v>
          </cell>
          <cell r="CF79" t="str">
            <v>0</v>
          </cell>
          <cell r="CG79" t="str">
            <v>0</v>
          </cell>
          <cell r="CH79" t="str">
            <v>0</v>
          </cell>
          <cell r="CI79" t="str">
            <v>0</v>
          </cell>
          <cell r="CJ79" t="str">
            <v>0</v>
          </cell>
          <cell r="CK79" t="str">
            <v>0</v>
          </cell>
          <cell r="CL79" t="str">
            <v>0</v>
          </cell>
          <cell r="CM79" t="str">
            <v>0</v>
          </cell>
          <cell r="CN79" t="str">
            <v>0</v>
          </cell>
          <cell r="CO79" t="str">
            <v>0</v>
          </cell>
          <cell r="CP79" t="str">
            <v>0</v>
          </cell>
          <cell r="CQ79" t="str">
            <v>0</v>
          </cell>
          <cell r="CR79" t="str">
            <v>0</v>
          </cell>
          <cell r="CS79" t="str">
            <v>0</v>
          </cell>
          <cell r="CT79" t="str">
            <v>0</v>
          </cell>
          <cell r="CU79" t="str">
            <v>0</v>
          </cell>
          <cell r="CV79" t="str">
            <v>0</v>
          </cell>
          <cell r="CW79" t="str">
            <v>0</v>
          </cell>
          <cell r="CX79" t="str">
            <v>0</v>
          </cell>
          <cell r="CY79">
            <v>2000</v>
          </cell>
          <cell r="CZ79">
            <v>30496</v>
          </cell>
          <cell r="DA79">
            <v>0</v>
          </cell>
          <cell r="DB79">
            <v>0</v>
          </cell>
          <cell r="DC79">
            <v>30496</v>
          </cell>
        </row>
        <row r="80">
          <cell r="A80" t="str">
            <v>FS451</v>
          </cell>
          <cell r="B80" t="str">
            <v>Devulapally Ruchitha</v>
          </cell>
          <cell r="C80" t="str">
            <v>Quality Engineering</v>
          </cell>
          <cell r="D80" t="str">
            <v>16-08-2023</v>
          </cell>
          <cell r="E80" t="str">
            <v>N.A</v>
          </cell>
          <cell r="F80" t="str">
            <v>2025-10</v>
          </cell>
          <cell r="G80" t="str">
            <v>Success</v>
          </cell>
          <cell r="H80" t="str">
            <v>N.A</v>
          </cell>
          <cell r="I80" t="str">
            <v/>
          </cell>
          <cell r="J80" t="str">
            <v>30</v>
          </cell>
          <cell r="K80" t="str">
            <v>0</v>
          </cell>
          <cell r="L80" t="str">
            <v>0</v>
          </cell>
          <cell r="M80" t="str">
            <v>N.A</v>
          </cell>
          <cell r="N80" t="str">
            <v>0</v>
          </cell>
          <cell r="O80" t="str">
            <v>0</v>
          </cell>
          <cell r="P80" t="str">
            <v>30</v>
          </cell>
          <cell r="Q80" t="str">
            <v>30</v>
          </cell>
          <cell r="R80" t="str">
            <v>Software Development Engineer in Test - I</v>
          </cell>
          <cell r="S80" t="str">
            <v>Support Function-IN</v>
          </cell>
          <cell r="T80" t="str">
            <v>Hyderabad</v>
          </cell>
          <cell r="U80" t="str">
            <v xml:space="preserve">Telangana </v>
          </cell>
          <cell r="V80" t="str">
            <v>50100653057718</v>
          </cell>
          <cell r="W80" t="str">
            <v>HDFC BANK</v>
          </cell>
          <cell r="X80" t="str">
            <v>89345</v>
          </cell>
          <cell r="Y80" t="str">
            <v>EDAPR0511N</v>
          </cell>
          <cell r="Z80" t="str">
            <v>36458</v>
          </cell>
          <cell r="AA80">
            <v>36458</v>
          </cell>
          <cell r="AB80">
            <v>0</v>
          </cell>
          <cell r="AC80">
            <v>14583</v>
          </cell>
          <cell r="AD80">
            <v>14583</v>
          </cell>
          <cell r="AE80">
            <v>0</v>
          </cell>
          <cell r="AF80">
            <v>4010</v>
          </cell>
          <cell r="AG80">
            <v>4010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9115</v>
          </cell>
          <cell r="AM80">
            <v>9115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25179</v>
          </cell>
          <cell r="AS80">
            <v>25179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 t="str">
            <v>0</v>
          </cell>
          <cell r="BF80">
            <v>0</v>
          </cell>
          <cell r="BG80">
            <v>0</v>
          </cell>
          <cell r="BH80">
            <v>89345</v>
          </cell>
          <cell r="BI80">
            <v>89345</v>
          </cell>
          <cell r="BJ80">
            <v>0</v>
          </cell>
          <cell r="BK80">
            <v>0</v>
          </cell>
          <cell r="BL80">
            <v>0</v>
          </cell>
          <cell r="BM80">
            <v>200</v>
          </cell>
          <cell r="BN80">
            <v>0</v>
          </cell>
          <cell r="BO80">
            <v>0</v>
          </cell>
          <cell r="BP80">
            <v>1800</v>
          </cell>
          <cell r="BQ80">
            <v>0</v>
          </cell>
          <cell r="BR80">
            <v>1800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str">
            <v>0</v>
          </cell>
          <cell r="BZ80" t="str">
            <v>0</v>
          </cell>
          <cell r="CA80" t="str">
            <v>0</v>
          </cell>
          <cell r="CB80" t="str">
            <v>0</v>
          </cell>
          <cell r="CC80" t="str">
            <v>0</v>
          </cell>
          <cell r="CD80" t="str">
            <v>0</v>
          </cell>
          <cell r="CE80" t="str">
            <v>0</v>
          </cell>
          <cell r="CF80" t="str">
            <v>0</v>
          </cell>
          <cell r="CG80" t="str">
            <v>0</v>
          </cell>
          <cell r="CH80" t="str">
            <v>0</v>
          </cell>
          <cell r="CI80" t="str">
            <v>0</v>
          </cell>
          <cell r="CJ80" t="str">
            <v>0</v>
          </cell>
          <cell r="CK80" t="str">
            <v>0</v>
          </cell>
          <cell r="CL80" t="str">
            <v>0</v>
          </cell>
          <cell r="CM80" t="str">
            <v>0</v>
          </cell>
          <cell r="CN80" t="str">
            <v>0</v>
          </cell>
          <cell r="CO80" t="str">
            <v>0</v>
          </cell>
          <cell r="CP80" t="str">
            <v>0</v>
          </cell>
          <cell r="CQ80" t="str">
            <v>0</v>
          </cell>
          <cell r="CR80" t="str">
            <v>0</v>
          </cell>
          <cell r="CS80" t="str">
            <v>0</v>
          </cell>
          <cell r="CT80" t="str">
            <v>0</v>
          </cell>
          <cell r="CU80" t="str">
            <v>0</v>
          </cell>
          <cell r="CV80" t="str">
            <v>0</v>
          </cell>
          <cell r="CW80" t="str">
            <v>0</v>
          </cell>
          <cell r="CX80" t="str">
            <v>0</v>
          </cell>
          <cell r="CY80">
            <v>2000</v>
          </cell>
          <cell r="CZ80">
            <v>87345</v>
          </cell>
          <cell r="DA80">
            <v>0</v>
          </cell>
          <cell r="DB80">
            <v>0</v>
          </cell>
          <cell r="DC80">
            <v>87345</v>
          </cell>
        </row>
        <row r="81">
          <cell r="A81" t="str">
            <v>FS452</v>
          </cell>
          <cell r="B81" t="str">
            <v>Mannem Shirisha</v>
          </cell>
          <cell r="C81" t="str">
            <v>Quality Engineering</v>
          </cell>
          <cell r="D81" t="str">
            <v>16-08-2023</v>
          </cell>
          <cell r="E81" t="str">
            <v>N.A</v>
          </cell>
          <cell r="F81" t="str">
            <v>2025-10</v>
          </cell>
          <cell r="G81" t="str">
            <v>Success</v>
          </cell>
          <cell r="H81" t="str">
            <v>N.A</v>
          </cell>
          <cell r="I81" t="str">
            <v/>
          </cell>
          <cell r="J81" t="str">
            <v>30</v>
          </cell>
          <cell r="K81" t="str">
            <v>0</v>
          </cell>
          <cell r="L81" t="str">
            <v>0</v>
          </cell>
          <cell r="M81" t="str">
            <v>N.A</v>
          </cell>
          <cell r="N81" t="str">
            <v>0</v>
          </cell>
          <cell r="O81" t="str">
            <v>0</v>
          </cell>
          <cell r="P81" t="str">
            <v>30</v>
          </cell>
          <cell r="Q81" t="str">
            <v>30</v>
          </cell>
          <cell r="R81" t="str">
            <v>Software Development Engineer in Test - I</v>
          </cell>
          <cell r="S81" t="str">
            <v>Support Function-IN</v>
          </cell>
          <cell r="T81" t="str">
            <v>Hyderabad</v>
          </cell>
          <cell r="U81" t="str">
            <v xml:space="preserve">Telangana </v>
          </cell>
          <cell r="V81" t="str">
            <v>50100653057514</v>
          </cell>
          <cell r="W81" t="str">
            <v>HDFC BANK</v>
          </cell>
          <cell r="X81" t="str">
            <v>65964</v>
          </cell>
          <cell r="Y81" t="str">
            <v>OQRPS1667G</v>
          </cell>
          <cell r="Z81" t="str">
            <v>27106</v>
          </cell>
          <cell r="AA81">
            <v>27106</v>
          </cell>
          <cell r="AB81">
            <v>0</v>
          </cell>
          <cell r="AC81">
            <v>10842</v>
          </cell>
          <cell r="AD81">
            <v>10842</v>
          </cell>
          <cell r="AE81">
            <v>0</v>
          </cell>
          <cell r="AF81">
            <v>2982</v>
          </cell>
          <cell r="AG81">
            <v>2982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6776</v>
          </cell>
          <cell r="AM81">
            <v>6776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18258</v>
          </cell>
          <cell r="AS81">
            <v>18258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 t="str">
            <v>0</v>
          </cell>
          <cell r="BF81">
            <v>0</v>
          </cell>
          <cell r="BG81">
            <v>0</v>
          </cell>
          <cell r="BH81">
            <v>65964</v>
          </cell>
          <cell r="BI81">
            <v>65964</v>
          </cell>
          <cell r="BJ81">
            <v>0</v>
          </cell>
          <cell r="BK81">
            <v>0</v>
          </cell>
          <cell r="BL81">
            <v>0</v>
          </cell>
          <cell r="BM81">
            <v>200</v>
          </cell>
          <cell r="BN81">
            <v>0</v>
          </cell>
          <cell r="BO81">
            <v>0</v>
          </cell>
          <cell r="BP81">
            <v>1800</v>
          </cell>
          <cell r="BQ81">
            <v>0</v>
          </cell>
          <cell r="BR81">
            <v>1800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str">
            <v>0</v>
          </cell>
          <cell r="BZ81" t="str">
            <v>0</v>
          </cell>
          <cell r="CA81" t="str">
            <v>0</v>
          </cell>
          <cell r="CB81" t="str">
            <v>0</v>
          </cell>
          <cell r="CC81" t="str">
            <v>0</v>
          </cell>
          <cell r="CD81" t="str">
            <v>0</v>
          </cell>
          <cell r="CE81" t="str">
            <v>0</v>
          </cell>
          <cell r="CF81" t="str">
            <v>0</v>
          </cell>
          <cell r="CG81" t="str">
            <v>0</v>
          </cell>
          <cell r="CH81" t="str">
            <v>0</v>
          </cell>
          <cell r="CI81" t="str">
            <v>0</v>
          </cell>
          <cell r="CJ81" t="str">
            <v>0</v>
          </cell>
          <cell r="CK81" t="str">
            <v>0</v>
          </cell>
          <cell r="CL81" t="str">
            <v>0</v>
          </cell>
          <cell r="CM81" t="str">
            <v>0</v>
          </cell>
          <cell r="CN81" t="str">
            <v>0</v>
          </cell>
          <cell r="CO81" t="str">
            <v>0</v>
          </cell>
          <cell r="CP81" t="str">
            <v>0</v>
          </cell>
          <cell r="CQ81" t="str">
            <v>0</v>
          </cell>
          <cell r="CR81" t="str">
            <v>0</v>
          </cell>
          <cell r="CS81" t="str">
            <v>0</v>
          </cell>
          <cell r="CT81" t="str">
            <v>0</v>
          </cell>
          <cell r="CU81" t="str">
            <v>0</v>
          </cell>
          <cell r="CV81" t="str">
            <v>0</v>
          </cell>
          <cell r="CW81" t="str">
            <v>0</v>
          </cell>
          <cell r="CX81" t="str">
            <v>0</v>
          </cell>
          <cell r="CY81">
            <v>2000</v>
          </cell>
          <cell r="CZ81">
            <v>63964</v>
          </cell>
          <cell r="DA81">
            <v>0</v>
          </cell>
          <cell r="DB81">
            <v>0</v>
          </cell>
          <cell r="DC81">
            <v>63964</v>
          </cell>
        </row>
        <row r="82">
          <cell r="A82" t="str">
            <v>FS454</v>
          </cell>
          <cell r="B82" t="str">
            <v>Dunaboyina Jyothi Sai Teja</v>
          </cell>
          <cell r="C82" t="str">
            <v>Quality Engineering</v>
          </cell>
          <cell r="D82" t="str">
            <v>16-08-2023</v>
          </cell>
          <cell r="E82" t="str">
            <v>N.A</v>
          </cell>
          <cell r="F82" t="str">
            <v>2025-10</v>
          </cell>
          <cell r="G82" t="str">
            <v>Success</v>
          </cell>
          <cell r="H82" t="str">
            <v>N.A</v>
          </cell>
          <cell r="I82" t="str">
            <v/>
          </cell>
          <cell r="J82" t="str">
            <v>30</v>
          </cell>
          <cell r="K82" t="str">
            <v>0</v>
          </cell>
          <cell r="L82" t="str">
            <v>0</v>
          </cell>
          <cell r="M82" t="str">
            <v>N.A</v>
          </cell>
          <cell r="N82" t="str">
            <v>0</v>
          </cell>
          <cell r="O82" t="str">
            <v>0</v>
          </cell>
          <cell r="P82" t="str">
            <v>30</v>
          </cell>
          <cell r="Q82" t="str">
            <v>30</v>
          </cell>
          <cell r="R82" t="str">
            <v>Software Development Engineer in Test - I</v>
          </cell>
          <cell r="S82" t="str">
            <v>Support Function-IN</v>
          </cell>
          <cell r="T82" t="str">
            <v>Hyderabad</v>
          </cell>
          <cell r="U82" t="str">
            <v xml:space="preserve">Telangana </v>
          </cell>
          <cell r="V82" t="str">
            <v>50100653058595</v>
          </cell>
          <cell r="W82" t="str">
            <v>HDFC BANK</v>
          </cell>
          <cell r="X82" t="str">
            <v>89345</v>
          </cell>
          <cell r="Y82" t="str">
            <v>CCVPJ7978R</v>
          </cell>
          <cell r="Z82" t="str">
            <v>36458</v>
          </cell>
          <cell r="AA82">
            <v>36458</v>
          </cell>
          <cell r="AB82">
            <v>0</v>
          </cell>
          <cell r="AC82">
            <v>14583</v>
          </cell>
          <cell r="AD82">
            <v>14583</v>
          </cell>
          <cell r="AE82">
            <v>0</v>
          </cell>
          <cell r="AF82">
            <v>4010</v>
          </cell>
          <cell r="AG82">
            <v>4010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9115</v>
          </cell>
          <cell r="AM82">
            <v>9115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25179</v>
          </cell>
          <cell r="AS82">
            <v>25179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 t="str">
            <v>0</v>
          </cell>
          <cell r="BF82">
            <v>0</v>
          </cell>
          <cell r="BG82">
            <v>0</v>
          </cell>
          <cell r="BH82">
            <v>89345</v>
          </cell>
          <cell r="BI82">
            <v>89345</v>
          </cell>
          <cell r="BJ82">
            <v>0</v>
          </cell>
          <cell r="BK82">
            <v>0</v>
          </cell>
          <cell r="BL82">
            <v>0</v>
          </cell>
          <cell r="BM82">
            <v>200</v>
          </cell>
          <cell r="BN82">
            <v>0</v>
          </cell>
          <cell r="BO82">
            <v>0</v>
          </cell>
          <cell r="BP82">
            <v>1800</v>
          </cell>
          <cell r="BQ82">
            <v>0</v>
          </cell>
          <cell r="BR82">
            <v>1800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str">
            <v>0</v>
          </cell>
          <cell r="BZ82" t="str">
            <v>0</v>
          </cell>
          <cell r="CA82" t="str">
            <v>0</v>
          </cell>
          <cell r="CB82" t="str">
            <v>0</v>
          </cell>
          <cell r="CC82" t="str">
            <v>0</v>
          </cell>
          <cell r="CD82" t="str">
            <v>0</v>
          </cell>
          <cell r="CE82" t="str">
            <v>0</v>
          </cell>
          <cell r="CF82" t="str">
            <v>0</v>
          </cell>
          <cell r="CG82" t="str">
            <v>0</v>
          </cell>
          <cell r="CH82" t="str">
            <v>0</v>
          </cell>
          <cell r="CI82" t="str">
            <v>0</v>
          </cell>
          <cell r="CJ82" t="str">
            <v>0</v>
          </cell>
          <cell r="CK82" t="str">
            <v>0</v>
          </cell>
          <cell r="CL82" t="str">
            <v>0</v>
          </cell>
          <cell r="CM82" t="str">
            <v>0</v>
          </cell>
          <cell r="CN82" t="str">
            <v>0</v>
          </cell>
          <cell r="CO82" t="str">
            <v>0</v>
          </cell>
          <cell r="CP82" t="str">
            <v>0</v>
          </cell>
          <cell r="CQ82" t="str">
            <v>0</v>
          </cell>
          <cell r="CR82" t="str">
            <v>0</v>
          </cell>
          <cell r="CS82" t="str">
            <v>0</v>
          </cell>
          <cell r="CT82" t="str">
            <v>0</v>
          </cell>
          <cell r="CU82" t="str">
            <v>0</v>
          </cell>
          <cell r="CV82" t="str">
            <v>0</v>
          </cell>
          <cell r="CW82" t="str">
            <v>0</v>
          </cell>
          <cell r="CX82" t="str">
            <v>0</v>
          </cell>
          <cell r="CY82">
            <v>2000</v>
          </cell>
          <cell r="CZ82">
            <v>87345</v>
          </cell>
          <cell r="DA82">
            <v>0</v>
          </cell>
          <cell r="DB82">
            <v>0</v>
          </cell>
          <cell r="DC82">
            <v>87345</v>
          </cell>
        </row>
        <row r="83">
          <cell r="A83" t="str">
            <v>FS458</v>
          </cell>
          <cell r="B83" t="str">
            <v>Kotireddy Gudise</v>
          </cell>
          <cell r="C83" t="str">
            <v>Product Engineering</v>
          </cell>
          <cell r="D83" t="str">
            <v>30-08-2023</v>
          </cell>
          <cell r="E83" t="str">
            <v>N.A</v>
          </cell>
          <cell r="F83" t="str">
            <v>2025-10</v>
          </cell>
          <cell r="G83" t="str">
            <v>Success</v>
          </cell>
          <cell r="H83" t="str">
            <v>N.A</v>
          </cell>
          <cell r="I83" t="str">
            <v/>
          </cell>
          <cell r="J83" t="str">
            <v>30</v>
          </cell>
          <cell r="K83" t="str">
            <v>0</v>
          </cell>
          <cell r="L83" t="str">
            <v>0</v>
          </cell>
          <cell r="M83" t="str">
            <v>N.A</v>
          </cell>
          <cell r="N83" t="str">
            <v>0</v>
          </cell>
          <cell r="O83" t="str">
            <v>0</v>
          </cell>
          <cell r="P83" t="str">
            <v>30</v>
          </cell>
          <cell r="Q83" t="str">
            <v>30</v>
          </cell>
          <cell r="R83" t="str">
            <v>Lead Software Engineer</v>
          </cell>
          <cell r="S83" t="str">
            <v>Product Engineering</v>
          </cell>
          <cell r="T83" t="str">
            <v>Hyderabad</v>
          </cell>
          <cell r="U83" t="str">
            <v xml:space="preserve">Telangana </v>
          </cell>
          <cell r="V83" t="str">
            <v>50100620190452</v>
          </cell>
          <cell r="W83" t="str">
            <v>HDFC BANK</v>
          </cell>
          <cell r="X83" t="str">
            <v>266296</v>
          </cell>
          <cell r="Y83" t="str">
            <v>ATOPG9136G</v>
          </cell>
          <cell r="Z83" t="str">
            <v>111889</v>
          </cell>
          <cell r="AA83">
            <v>111889</v>
          </cell>
          <cell r="AB83">
            <v>0</v>
          </cell>
          <cell r="AC83">
            <v>44756</v>
          </cell>
          <cell r="AD83">
            <v>44756</v>
          </cell>
          <cell r="AE83">
            <v>0</v>
          </cell>
          <cell r="AF83">
            <v>12308</v>
          </cell>
          <cell r="AG83">
            <v>12308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10000</v>
          </cell>
          <cell r="AM83">
            <v>10000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87343</v>
          </cell>
          <cell r="AS83">
            <v>87343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 t="str">
            <v>0</v>
          </cell>
          <cell r="BF83">
            <v>0</v>
          </cell>
          <cell r="BG83">
            <v>0</v>
          </cell>
          <cell r="BH83">
            <v>266296</v>
          </cell>
          <cell r="BI83">
            <v>266296</v>
          </cell>
          <cell r="BJ83">
            <v>0</v>
          </cell>
          <cell r="BK83">
            <v>0</v>
          </cell>
          <cell r="BL83">
            <v>44734</v>
          </cell>
          <cell r="BM83">
            <v>200</v>
          </cell>
          <cell r="BN83">
            <v>0</v>
          </cell>
          <cell r="BO83">
            <v>0</v>
          </cell>
          <cell r="BP83">
            <v>13427</v>
          </cell>
          <cell r="BQ83">
            <v>0</v>
          </cell>
          <cell r="BR83">
            <v>13427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str">
            <v>0</v>
          </cell>
          <cell r="BZ83" t="str">
            <v>0</v>
          </cell>
          <cell r="CA83" t="str">
            <v>0</v>
          </cell>
          <cell r="CB83" t="str">
            <v>0</v>
          </cell>
          <cell r="CC83" t="str">
            <v>0</v>
          </cell>
          <cell r="CD83" t="str">
            <v>0</v>
          </cell>
          <cell r="CE83" t="str">
            <v>0</v>
          </cell>
          <cell r="CF83" t="str">
            <v>0</v>
          </cell>
          <cell r="CG83" t="str">
            <v>0</v>
          </cell>
          <cell r="CH83" t="str">
            <v>0</v>
          </cell>
          <cell r="CI83" t="str">
            <v>0</v>
          </cell>
          <cell r="CJ83" t="str">
            <v>0</v>
          </cell>
          <cell r="CK83" t="str">
            <v>0</v>
          </cell>
          <cell r="CL83" t="str">
            <v>0</v>
          </cell>
          <cell r="CM83" t="str">
            <v>0</v>
          </cell>
          <cell r="CN83" t="str">
            <v>0</v>
          </cell>
          <cell r="CO83" t="str">
            <v>0</v>
          </cell>
          <cell r="CP83" t="str">
            <v>0</v>
          </cell>
          <cell r="CQ83" t="str">
            <v>0</v>
          </cell>
          <cell r="CR83" t="str">
            <v>0</v>
          </cell>
          <cell r="CS83" t="str">
            <v>0</v>
          </cell>
          <cell r="CT83" t="str">
            <v>0</v>
          </cell>
          <cell r="CU83" t="str">
            <v>0</v>
          </cell>
          <cell r="CV83" t="str">
            <v>0</v>
          </cell>
          <cell r="CW83" t="str">
            <v>0</v>
          </cell>
          <cell r="CX83" t="str">
            <v>0</v>
          </cell>
          <cell r="CY83">
            <v>58361</v>
          </cell>
          <cell r="CZ83">
            <v>207935</v>
          </cell>
          <cell r="DA83">
            <v>0</v>
          </cell>
          <cell r="DB83">
            <v>0</v>
          </cell>
          <cell r="DC83">
            <v>207935</v>
          </cell>
        </row>
        <row r="84">
          <cell r="A84" t="str">
            <v>FS467</v>
          </cell>
          <cell r="B84" t="str">
            <v>Venkatesh Vysyaraju</v>
          </cell>
          <cell r="C84" t="str">
            <v>Talent Acquisition</v>
          </cell>
          <cell r="D84" t="str">
            <v>05-02-2024</v>
          </cell>
          <cell r="E84" t="str">
            <v>N.A</v>
          </cell>
          <cell r="F84" t="str">
            <v>2025-10</v>
          </cell>
          <cell r="G84" t="str">
            <v>Success</v>
          </cell>
          <cell r="H84" t="str">
            <v>N.A</v>
          </cell>
          <cell r="I84" t="str">
            <v/>
          </cell>
          <cell r="J84" t="str">
            <v>30</v>
          </cell>
          <cell r="K84" t="str">
            <v>0</v>
          </cell>
          <cell r="L84" t="str">
            <v>0</v>
          </cell>
          <cell r="M84" t="str">
            <v>N.A</v>
          </cell>
          <cell r="N84" t="str">
            <v>0</v>
          </cell>
          <cell r="O84" t="str">
            <v>0</v>
          </cell>
          <cell r="P84" t="str">
            <v>30</v>
          </cell>
          <cell r="Q84" t="str">
            <v>30</v>
          </cell>
          <cell r="R84" t="str">
            <v>Associate Director- Business Development</v>
          </cell>
          <cell r="S84" t="str">
            <v>Recruitment-IN</v>
          </cell>
          <cell r="T84" t="str">
            <v>Hyderabad</v>
          </cell>
          <cell r="U84" t="str">
            <v xml:space="preserve">Telangana </v>
          </cell>
          <cell r="V84" t="str">
            <v>05451050122557</v>
          </cell>
          <cell r="W84" t="str">
            <v>HDFC BANK</v>
          </cell>
          <cell r="X84" t="str">
            <v>226662</v>
          </cell>
          <cell r="Y84" t="str">
            <v>AGQPV0481Q</v>
          </cell>
          <cell r="Z84" t="str">
            <v>91385</v>
          </cell>
          <cell r="AA84">
            <v>91385</v>
          </cell>
          <cell r="AB84">
            <v>0</v>
          </cell>
          <cell r="AC84">
            <v>36554</v>
          </cell>
          <cell r="AD84">
            <v>36554</v>
          </cell>
          <cell r="AE84">
            <v>0</v>
          </cell>
          <cell r="AF84">
            <v>10052</v>
          </cell>
          <cell r="AG84">
            <v>10052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10000</v>
          </cell>
          <cell r="AM84">
            <v>10000</v>
          </cell>
          <cell r="AN84">
            <v>0</v>
          </cell>
          <cell r="AO84">
            <v>2200</v>
          </cell>
          <cell r="AP84">
            <v>2200</v>
          </cell>
          <cell r="AQ84">
            <v>0</v>
          </cell>
          <cell r="AR84">
            <v>76471</v>
          </cell>
          <cell r="AS84">
            <v>76471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 t="str">
            <v>0</v>
          </cell>
          <cell r="BF84">
            <v>0</v>
          </cell>
          <cell r="BG84">
            <v>0</v>
          </cell>
          <cell r="BH84">
            <v>226662</v>
          </cell>
          <cell r="BI84">
            <v>226662</v>
          </cell>
          <cell r="BJ84">
            <v>2200</v>
          </cell>
          <cell r="BK84">
            <v>0</v>
          </cell>
          <cell r="BL84">
            <v>32369</v>
          </cell>
          <cell r="BM84">
            <v>200</v>
          </cell>
          <cell r="BN84">
            <v>0</v>
          </cell>
          <cell r="BO84">
            <v>0</v>
          </cell>
          <cell r="BP84">
            <v>1800</v>
          </cell>
          <cell r="BQ84">
            <v>0</v>
          </cell>
          <cell r="BR84">
            <v>1800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str">
            <v>0</v>
          </cell>
          <cell r="BZ84" t="str">
            <v>0</v>
          </cell>
          <cell r="CA84" t="str">
            <v>0</v>
          </cell>
          <cell r="CB84" t="str">
            <v>0</v>
          </cell>
          <cell r="CC84" t="str">
            <v>0</v>
          </cell>
          <cell r="CD84" t="str">
            <v>0</v>
          </cell>
          <cell r="CE84" t="str">
            <v>0</v>
          </cell>
          <cell r="CF84" t="str">
            <v>0</v>
          </cell>
          <cell r="CG84" t="str">
            <v>0</v>
          </cell>
          <cell r="CH84" t="str">
            <v>0</v>
          </cell>
          <cell r="CI84" t="str">
            <v>0</v>
          </cell>
          <cell r="CJ84" t="str">
            <v>0</v>
          </cell>
          <cell r="CK84" t="str">
            <v>0</v>
          </cell>
          <cell r="CL84" t="str">
            <v>0</v>
          </cell>
          <cell r="CM84" t="str">
            <v>0</v>
          </cell>
          <cell r="CN84" t="str">
            <v>0</v>
          </cell>
          <cell r="CO84" t="str">
            <v>0</v>
          </cell>
          <cell r="CP84" t="str">
            <v>0</v>
          </cell>
          <cell r="CQ84" t="str">
            <v>0</v>
          </cell>
          <cell r="CR84" t="str">
            <v>0</v>
          </cell>
          <cell r="CS84" t="str">
            <v>0</v>
          </cell>
          <cell r="CT84" t="str">
            <v>0</v>
          </cell>
          <cell r="CU84" t="str">
            <v>0</v>
          </cell>
          <cell r="CV84" t="str">
            <v>0</v>
          </cell>
          <cell r="CW84" t="str">
            <v>0</v>
          </cell>
          <cell r="CX84" t="str">
            <v>0</v>
          </cell>
          <cell r="CY84">
            <v>36569</v>
          </cell>
          <cell r="CZ84">
            <v>190093</v>
          </cell>
          <cell r="DA84">
            <v>0</v>
          </cell>
          <cell r="DB84">
            <v>0</v>
          </cell>
          <cell r="DC84">
            <v>190093</v>
          </cell>
        </row>
        <row r="85">
          <cell r="A85" t="str">
            <v>FS471</v>
          </cell>
          <cell r="B85" t="str">
            <v>Y Mallikarjuna Reddy</v>
          </cell>
          <cell r="C85" t="str">
            <v>Talent Acquisition</v>
          </cell>
          <cell r="D85" t="str">
            <v>28-03-2024</v>
          </cell>
          <cell r="E85" t="str">
            <v>N.A</v>
          </cell>
          <cell r="F85" t="str">
            <v>2025-10</v>
          </cell>
          <cell r="G85" t="str">
            <v>Success</v>
          </cell>
          <cell r="H85" t="str">
            <v>N.A</v>
          </cell>
          <cell r="I85" t="str">
            <v/>
          </cell>
          <cell r="J85" t="str">
            <v>30</v>
          </cell>
          <cell r="K85" t="str">
            <v>0</v>
          </cell>
          <cell r="L85" t="str">
            <v>0</v>
          </cell>
          <cell r="M85" t="str">
            <v>N.A</v>
          </cell>
          <cell r="N85" t="str">
            <v>0</v>
          </cell>
          <cell r="O85" t="str">
            <v>0</v>
          </cell>
          <cell r="P85" t="str">
            <v>30</v>
          </cell>
          <cell r="Q85" t="str">
            <v>30</v>
          </cell>
          <cell r="R85" t="str">
            <v>Senior Manager- Learning and Development</v>
          </cell>
          <cell r="S85" t="str">
            <v>Recruitment-IN</v>
          </cell>
          <cell r="T85" t="str">
            <v>Hyderabad</v>
          </cell>
          <cell r="U85" t="str">
            <v xml:space="preserve">Telangana </v>
          </cell>
          <cell r="V85" t="str">
            <v>13781050038636</v>
          </cell>
          <cell r="W85" t="str">
            <v>HDFC BANK</v>
          </cell>
          <cell r="X85" t="str">
            <v>169651</v>
          </cell>
          <cell r="Y85" t="str">
            <v>ADZPY4464C</v>
          </cell>
          <cell r="Z85" t="str">
            <v>68580</v>
          </cell>
          <cell r="AA85">
            <v>68580</v>
          </cell>
          <cell r="AB85">
            <v>0</v>
          </cell>
          <cell r="AC85">
            <v>27432</v>
          </cell>
          <cell r="AD85">
            <v>27432</v>
          </cell>
          <cell r="AE85">
            <v>0</v>
          </cell>
          <cell r="AF85">
            <v>7544</v>
          </cell>
          <cell r="AG85">
            <v>7544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10000</v>
          </cell>
          <cell r="AM85">
            <v>10000</v>
          </cell>
          <cell r="AN85">
            <v>0</v>
          </cell>
          <cell r="AO85">
            <v>2200</v>
          </cell>
          <cell r="AP85">
            <v>2200</v>
          </cell>
          <cell r="AQ85">
            <v>0</v>
          </cell>
          <cell r="AR85">
            <v>53895</v>
          </cell>
          <cell r="AS85">
            <v>53895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 t="str">
            <v>0</v>
          </cell>
          <cell r="BF85">
            <v>0</v>
          </cell>
          <cell r="BG85">
            <v>0</v>
          </cell>
          <cell r="BH85">
            <v>169651</v>
          </cell>
          <cell r="BI85">
            <v>169651</v>
          </cell>
          <cell r="BJ85">
            <v>2200</v>
          </cell>
          <cell r="BK85">
            <v>0</v>
          </cell>
          <cell r="BL85">
            <v>22086</v>
          </cell>
          <cell r="BM85">
            <v>200</v>
          </cell>
          <cell r="BN85">
            <v>0</v>
          </cell>
          <cell r="BO85">
            <v>0</v>
          </cell>
          <cell r="BP85">
            <v>1800</v>
          </cell>
          <cell r="BQ85">
            <v>0</v>
          </cell>
          <cell r="BR85">
            <v>1800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str">
            <v>0</v>
          </cell>
          <cell r="BZ85" t="str">
            <v>0</v>
          </cell>
          <cell r="CA85" t="str">
            <v>0</v>
          </cell>
          <cell r="CB85" t="str">
            <v>0</v>
          </cell>
          <cell r="CC85" t="str">
            <v>0</v>
          </cell>
          <cell r="CD85" t="str">
            <v>0</v>
          </cell>
          <cell r="CE85" t="str">
            <v>0</v>
          </cell>
          <cell r="CF85" t="str">
            <v>0</v>
          </cell>
          <cell r="CG85" t="str">
            <v>0</v>
          </cell>
          <cell r="CH85" t="str">
            <v>0</v>
          </cell>
          <cell r="CI85" t="str">
            <v>0</v>
          </cell>
          <cell r="CJ85" t="str">
            <v>0</v>
          </cell>
          <cell r="CK85" t="str">
            <v>0</v>
          </cell>
          <cell r="CL85" t="str">
            <v>0</v>
          </cell>
          <cell r="CM85" t="str">
            <v>0</v>
          </cell>
          <cell r="CN85" t="str">
            <v>0</v>
          </cell>
          <cell r="CO85" t="str">
            <v>0</v>
          </cell>
          <cell r="CP85" t="str">
            <v>0</v>
          </cell>
          <cell r="CQ85" t="str">
            <v>0</v>
          </cell>
          <cell r="CR85" t="str">
            <v>0</v>
          </cell>
          <cell r="CS85" t="str">
            <v>0</v>
          </cell>
          <cell r="CT85" t="str">
            <v>0</v>
          </cell>
          <cell r="CU85" t="str">
            <v>0</v>
          </cell>
          <cell r="CV85" t="str">
            <v>0</v>
          </cell>
          <cell r="CW85" t="str">
            <v>0</v>
          </cell>
          <cell r="CX85" t="str">
            <v>0</v>
          </cell>
          <cell r="CY85">
            <v>26286</v>
          </cell>
          <cell r="CZ85">
            <v>143365</v>
          </cell>
          <cell r="DA85">
            <v>0</v>
          </cell>
          <cell r="DB85">
            <v>0</v>
          </cell>
          <cell r="DC85">
            <v>143365</v>
          </cell>
        </row>
        <row r="86">
          <cell r="A86" t="str">
            <v>FS472</v>
          </cell>
          <cell r="B86" t="str">
            <v>Sreemannarayana Reddy Mayaluri</v>
          </cell>
          <cell r="C86" t="str">
            <v>Executive Management</v>
          </cell>
          <cell r="D86" t="str">
            <v>13-09-2024</v>
          </cell>
          <cell r="E86" t="str">
            <v>N.A</v>
          </cell>
          <cell r="F86" t="str">
            <v>2025-10</v>
          </cell>
          <cell r="G86" t="str">
            <v>Success</v>
          </cell>
          <cell r="H86" t="str">
            <v>N.A</v>
          </cell>
          <cell r="I86" t="str">
            <v/>
          </cell>
          <cell r="J86" t="str">
            <v>30</v>
          </cell>
          <cell r="K86" t="str">
            <v>0</v>
          </cell>
          <cell r="L86" t="str">
            <v>0</v>
          </cell>
          <cell r="M86" t="str">
            <v>N.A</v>
          </cell>
          <cell r="N86" t="str">
            <v>0</v>
          </cell>
          <cell r="O86" t="str">
            <v>0</v>
          </cell>
          <cell r="P86" t="str">
            <v>30</v>
          </cell>
          <cell r="Q86" t="str">
            <v>30</v>
          </cell>
          <cell r="R86" t="str">
            <v>Vice President – Operations / Program Director</v>
          </cell>
          <cell r="S86" t="str">
            <v>Executive</v>
          </cell>
          <cell r="T86" t="str">
            <v>Hyderabad</v>
          </cell>
          <cell r="U86" t="str">
            <v xml:space="preserve">Telangana </v>
          </cell>
          <cell r="V86" t="str">
            <v>99999849098915</v>
          </cell>
          <cell r="W86" t="str">
            <v>HDFC BANK</v>
          </cell>
          <cell r="X86" t="str">
            <v>428400</v>
          </cell>
          <cell r="Y86" t="str">
            <v>AFYPM4365D</v>
          </cell>
          <cell r="Z86" t="str">
            <v>180000</v>
          </cell>
          <cell r="AA86">
            <v>180000</v>
          </cell>
          <cell r="AB86">
            <v>0</v>
          </cell>
          <cell r="AC86">
            <v>72000</v>
          </cell>
          <cell r="AD86">
            <v>72000</v>
          </cell>
          <cell r="AE86">
            <v>0</v>
          </cell>
          <cell r="AF86">
            <v>19800</v>
          </cell>
          <cell r="AG86">
            <v>19800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10000</v>
          </cell>
          <cell r="AM86">
            <v>10000</v>
          </cell>
          <cell r="AN86">
            <v>0</v>
          </cell>
          <cell r="AO86">
            <v>2200</v>
          </cell>
          <cell r="AP86">
            <v>2200</v>
          </cell>
          <cell r="AQ86">
            <v>0</v>
          </cell>
          <cell r="AR86">
            <v>144400</v>
          </cell>
          <cell r="AS86">
            <v>144400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 t="str">
            <v>0</v>
          </cell>
          <cell r="BF86">
            <v>0</v>
          </cell>
          <cell r="BG86">
            <v>0</v>
          </cell>
          <cell r="BH86">
            <v>428400</v>
          </cell>
          <cell r="BI86">
            <v>428400</v>
          </cell>
          <cell r="BJ86">
            <v>2200</v>
          </cell>
          <cell r="BK86">
            <v>0</v>
          </cell>
          <cell r="BL86">
            <v>104962</v>
          </cell>
          <cell r="BM86">
            <v>200</v>
          </cell>
          <cell r="BN86">
            <v>0</v>
          </cell>
          <cell r="BO86">
            <v>0</v>
          </cell>
          <cell r="BP86">
            <v>21600</v>
          </cell>
          <cell r="BQ86">
            <v>0</v>
          </cell>
          <cell r="BR86">
            <v>21600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str">
            <v>0</v>
          </cell>
          <cell r="BZ86" t="str">
            <v>0</v>
          </cell>
          <cell r="CA86" t="str">
            <v>0</v>
          </cell>
          <cell r="CB86" t="str">
            <v>0</v>
          </cell>
          <cell r="CC86" t="str">
            <v>0</v>
          </cell>
          <cell r="CD86" t="str">
            <v>0</v>
          </cell>
          <cell r="CE86" t="str">
            <v>0</v>
          </cell>
          <cell r="CF86" t="str">
            <v>0</v>
          </cell>
          <cell r="CG86" t="str">
            <v>0</v>
          </cell>
          <cell r="CH86" t="str">
            <v>0</v>
          </cell>
          <cell r="CI86" t="str">
            <v>0</v>
          </cell>
          <cell r="CJ86" t="str">
            <v>0</v>
          </cell>
          <cell r="CK86" t="str">
            <v>0</v>
          </cell>
          <cell r="CL86" t="str">
            <v>0</v>
          </cell>
          <cell r="CM86" t="str">
            <v>0</v>
          </cell>
          <cell r="CN86" t="str">
            <v>0</v>
          </cell>
          <cell r="CO86" t="str">
            <v>0</v>
          </cell>
          <cell r="CP86" t="str">
            <v>0</v>
          </cell>
          <cell r="CQ86" t="str">
            <v>0</v>
          </cell>
          <cell r="CR86" t="str">
            <v>0</v>
          </cell>
          <cell r="CS86" t="str">
            <v>0</v>
          </cell>
          <cell r="CT86" t="str">
            <v>0</v>
          </cell>
          <cell r="CU86" t="str">
            <v>0</v>
          </cell>
          <cell r="CV86" t="str">
            <v>0</v>
          </cell>
          <cell r="CW86" t="str">
            <v>0</v>
          </cell>
          <cell r="CX86" t="str">
            <v>0</v>
          </cell>
          <cell r="CY86">
            <v>128962</v>
          </cell>
          <cell r="CZ86">
            <v>299438</v>
          </cell>
          <cell r="DA86">
            <v>0</v>
          </cell>
          <cell r="DB86">
            <v>0</v>
          </cell>
          <cell r="DC86">
            <v>299438</v>
          </cell>
        </row>
        <row r="87">
          <cell r="A87" t="str">
            <v>FS473</v>
          </cell>
          <cell r="B87" t="str">
            <v>Balla Sowmya</v>
          </cell>
          <cell r="C87" t="str">
            <v>Quality Engineering</v>
          </cell>
          <cell r="D87" t="str">
            <v>01-04-2024</v>
          </cell>
          <cell r="E87" t="str">
            <v>N.A</v>
          </cell>
          <cell r="F87" t="str">
            <v>2025-10</v>
          </cell>
          <cell r="G87" t="str">
            <v>Success</v>
          </cell>
          <cell r="H87" t="str">
            <v>N.A</v>
          </cell>
          <cell r="I87" t="str">
            <v/>
          </cell>
          <cell r="J87" t="str">
            <v>30</v>
          </cell>
          <cell r="K87" t="str">
            <v>0</v>
          </cell>
          <cell r="L87" t="str">
            <v>0</v>
          </cell>
          <cell r="M87" t="str">
            <v>N.A</v>
          </cell>
          <cell r="N87" t="str">
            <v>0</v>
          </cell>
          <cell r="O87" t="str">
            <v>0</v>
          </cell>
          <cell r="P87" t="str">
            <v>30</v>
          </cell>
          <cell r="Q87" t="str">
            <v>30</v>
          </cell>
          <cell r="R87" t="str">
            <v>QA-Manager/ Architect</v>
          </cell>
          <cell r="S87" t="str">
            <v>Delivery-IN</v>
          </cell>
          <cell r="T87" t="str">
            <v>Hyderabad</v>
          </cell>
          <cell r="U87" t="str">
            <v xml:space="preserve">Telangana </v>
          </cell>
          <cell r="V87" t="str">
            <v>50100080906752</v>
          </cell>
          <cell r="W87" t="str">
            <v>HDFC BANK</v>
          </cell>
          <cell r="X87" t="str">
            <v>229999</v>
          </cell>
          <cell r="Y87" t="str">
            <v>BANPB5570Q</v>
          </cell>
          <cell r="Z87" t="str">
            <v>92719</v>
          </cell>
          <cell r="AA87">
            <v>92719</v>
          </cell>
          <cell r="AB87">
            <v>0</v>
          </cell>
          <cell r="AC87">
            <v>37088</v>
          </cell>
          <cell r="AD87">
            <v>37088</v>
          </cell>
          <cell r="AE87">
            <v>0</v>
          </cell>
          <cell r="AF87">
            <v>10199</v>
          </cell>
          <cell r="AG87">
            <v>10199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10000</v>
          </cell>
          <cell r="AM87">
            <v>10000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79993</v>
          </cell>
          <cell r="AS87">
            <v>79993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 t="str">
            <v>0</v>
          </cell>
          <cell r="BF87">
            <v>0</v>
          </cell>
          <cell r="BG87">
            <v>0</v>
          </cell>
          <cell r="BH87">
            <v>229999</v>
          </cell>
          <cell r="BI87">
            <v>229999</v>
          </cell>
          <cell r="BJ87">
            <v>0</v>
          </cell>
          <cell r="BK87">
            <v>0</v>
          </cell>
          <cell r="BL87">
            <v>40083</v>
          </cell>
          <cell r="BM87">
            <v>200</v>
          </cell>
          <cell r="BN87">
            <v>0</v>
          </cell>
          <cell r="BO87">
            <v>0</v>
          </cell>
          <cell r="BP87">
            <v>1800</v>
          </cell>
          <cell r="BQ87">
            <v>0</v>
          </cell>
          <cell r="BR87">
            <v>1800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 t="str">
            <v>0</v>
          </cell>
          <cell r="BZ87" t="str">
            <v>0</v>
          </cell>
          <cell r="CA87" t="str">
            <v>0</v>
          </cell>
          <cell r="CB87" t="str">
            <v>0</v>
          </cell>
          <cell r="CC87" t="str">
            <v>0</v>
          </cell>
          <cell r="CD87" t="str">
            <v>0</v>
          </cell>
          <cell r="CE87" t="str">
            <v>0</v>
          </cell>
          <cell r="CF87" t="str">
            <v>0</v>
          </cell>
          <cell r="CG87" t="str">
            <v>0</v>
          </cell>
          <cell r="CH87" t="str">
            <v>0</v>
          </cell>
          <cell r="CI87" t="str">
            <v>0</v>
          </cell>
          <cell r="CJ87" t="str">
            <v>0</v>
          </cell>
          <cell r="CK87" t="str">
            <v>0</v>
          </cell>
          <cell r="CL87" t="str">
            <v>0</v>
          </cell>
          <cell r="CM87" t="str">
            <v>0</v>
          </cell>
          <cell r="CN87" t="str">
            <v>0</v>
          </cell>
          <cell r="CO87" t="str">
            <v>0</v>
          </cell>
          <cell r="CP87" t="str">
            <v>0</v>
          </cell>
          <cell r="CQ87" t="str">
            <v>0</v>
          </cell>
          <cell r="CR87" t="str">
            <v>0</v>
          </cell>
          <cell r="CS87" t="str">
            <v>0</v>
          </cell>
          <cell r="CT87" t="str">
            <v>0</v>
          </cell>
          <cell r="CU87" t="str">
            <v>0</v>
          </cell>
          <cell r="CV87" t="str">
            <v>0</v>
          </cell>
          <cell r="CW87" t="str">
            <v>0</v>
          </cell>
          <cell r="CX87" t="str">
            <v>0</v>
          </cell>
          <cell r="CY87">
            <v>42083</v>
          </cell>
          <cell r="CZ87">
            <v>187916</v>
          </cell>
          <cell r="DA87">
            <v>0</v>
          </cell>
          <cell r="DB87">
            <v>0</v>
          </cell>
          <cell r="DC87">
            <v>187916</v>
          </cell>
        </row>
        <row r="88">
          <cell r="A88" t="str">
            <v>FS474</v>
          </cell>
          <cell r="B88" t="str">
            <v>Arjun Gowda S</v>
          </cell>
          <cell r="C88" t="str">
            <v>Cloud</v>
          </cell>
          <cell r="D88" t="str">
            <v>08-05-2024</v>
          </cell>
          <cell r="E88" t="str">
            <v>N.A</v>
          </cell>
          <cell r="F88" t="str">
            <v>2025-10</v>
          </cell>
          <cell r="G88" t="str">
            <v>Success</v>
          </cell>
          <cell r="H88" t="str">
            <v>N.A</v>
          </cell>
          <cell r="I88" t="str">
            <v/>
          </cell>
          <cell r="J88" t="str">
            <v>30</v>
          </cell>
          <cell r="K88" t="str">
            <v>0</v>
          </cell>
          <cell r="L88" t="str">
            <v>0</v>
          </cell>
          <cell r="M88" t="str">
            <v>N.A</v>
          </cell>
          <cell r="N88" t="str">
            <v>0</v>
          </cell>
          <cell r="O88" t="str">
            <v>0</v>
          </cell>
          <cell r="P88" t="str">
            <v>30</v>
          </cell>
          <cell r="Q88" t="str">
            <v>30</v>
          </cell>
          <cell r="R88" t="str">
            <v>Lead Engineer</v>
          </cell>
          <cell r="S88" t="str">
            <v>Delivery-IN</v>
          </cell>
          <cell r="T88" t="str">
            <v>Hyderabad</v>
          </cell>
          <cell r="U88" t="str">
            <v xml:space="preserve">Telangana </v>
          </cell>
          <cell r="V88" t="str">
            <v>50100097912602</v>
          </cell>
          <cell r="W88" t="str">
            <v>HDFC BANK</v>
          </cell>
          <cell r="X88" t="str">
            <v>231128</v>
          </cell>
          <cell r="Y88" t="str">
            <v>BNHPA4655C</v>
          </cell>
          <cell r="Z88" t="str">
            <v>85171</v>
          </cell>
          <cell r="AA88">
            <v>85171</v>
          </cell>
          <cell r="AB88">
            <v>0</v>
          </cell>
          <cell r="AC88">
            <v>34069</v>
          </cell>
          <cell r="AD88">
            <v>34069</v>
          </cell>
          <cell r="AE88">
            <v>0</v>
          </cell>
          <cell r="AF88">
            <v>9369</v>
          </cell>
          <cell r="AG88">
            <v>9369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10000</v>
          </cell>
          <cell r="AM88">
            <v>10000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72519</v>
          </cell>
          <cell r="AS88">
            <v>72519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20000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 t="str">
            <v>0</v>
          </cell>
          <cell r="BF88">
            <v>0</v>
          </cell>
          <cell r="BG88">
            <v>20000</v>
          </cell>
          <cell r="BH88">
            <v>231128</v>
          </cell>
          <cell r="BI88">
            <v>231128</v>
          </cell>
          <cell r="BJ88">
            <v>0</v>
          </cell>
          <cell r="BK88">
            <v>0</v>
          </cell>
          <cell r="BL88">
            <v>38876</v>
          </cell>
          <cell r="BM88">
            <v>200</v>
          </cell>
          <cell r="BN88">
            <v>0</v>
          </cell>
          <cell r="BO88">
            <v>0</v>
          </cell>
          <cell r="BP88">
            <v>1800</v>
          </cell>
          <cell r="BQ88">
            <v>0</v>
          </cell>
          <cell r="BR88">
            <v>1800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str">
            <v>0</v>
          </cell>
          <cell r="BZ88" t="str">
            <v>0</v>
          </cell>
          <cell r="CA88" t="str">
            <v>0</v>
          </cell>
          <cell r="CB88" t="str">
            <v>0</v>
          </cell>
          <cell r="CC88" t="str">
            <v>0</v>
          </cell>
          <cell r="CD88" t="str">
            <v>0</v>
          </cell>
          <cell r="CE88" t="str">
            <v>0</v>
          </cell>
          <cell r="CF88" t="str">
            <v>0</v>
          </cell>
          <cell r="CG88" t="str">
            <v>0</v>
          </cell>
          <cell r="CH88" t="str">
            <v>0</v>
          </cell>
          <cell r="CI88" t="str">
            <v>0</v>
          </cell>
          <cell r="CJ88" t="str">
            <v>0</v>
          </cell>
          <cell r="CK88" t="str">
            <v>0</v>
          </cell>
          <cell r="CL88" t="str">
            <v>0</v>
          </cell>
          <cell r="CM88" t="str">
            <v>0</v>
          </cell>
          <cell r="CN88" t="str">
            <v>0</v>
          </cell>
          <cell r="CO88" t="str">
            <v>0</v>
          </cell>
          <cell r="CP88" t="str">
            <v>0</v>
          </cell>
          <cell r="CQ88" t="str">
            <v>0</v>
          </cell>
          <cell r="CR88" t="str">
            <v>0</v>
          </cell>
          <cell r="CS88" t="str">
            <v>0</v>
          </cell>
          <cell r="CT88" t="str">
            <v>0</v>
          </cell>
          <cell r="CU88" t="str">
            <v>0</v>
          </cell>
          <cell r="CV88" t="str">
            <v>0</v>
          </cell>
          <cell r="CW88" t="str">
            <v>0</v>
          </cell>
          <cell r="CX88" t="str">
            <v>0</v>
          </cell>
          <cell r="CY88">
            <v>40876</v>
          </cell>
          <cell r="CZ88">
            <v>190252</v>
          </cell>
          <cell r="DA88">
            <v>0</v>
          </cell>
          <cell r="DB88">
            <v>0</v>
          </cell>
          <cell r="DC88">
            <v>190252</v>
          </cell>
        </row>
        <row r="89">
          <cell r="A89" t="str">
            <v>FS476</v>
          </cell>
          <cell r="B89" t="str">
            <v>Sai Kiran Kicchagari</v>
          </cell>
          <cell r="C89" t="str">
            <v>Data &amp; Insights</v>
          </cell>
          <cell r="D89" t="str">
            <v>04-07-2024</v>
          </cell>
          <cell r="E89" t="str">
            <v>23-10-2025</v>
          </cell>
          <cell r="F89" t="str">
            <v>2025-10</v>
          </cell>
          <cell r="G89" t="str">
            <v>Success</v>
          </cell>
          <cell r="H89" t="str">
            <v>N.A</v>
          </cell>
          <cell r="I89" t="str">
            <v/>
          </cell>
          <cell r="J89" t="str">
            <v>30</v>
          </cell>
          <cell r="K89" t="str">
            <v>0</v>
          </cell>
          <cell r="L89" t="str">
            <v>0</v>
          </cell>
          <cell r="M89" t="str">
            <v>N.A</v>
          </cell>
          <cell r="N89" t="str">
            <v>0</v>
          </cell>
          <cell r="O89" t="str">
            <v>0</v>
          </cell>
          <cell r="P89" t="str">
            <v>28</v>
          </cell>
          <cell r="Q89" t="str">
            <v>28</v>
          </cell>
          <cell r="R89" t="str">
            <v>Senior Data Engineer</v>
          </cell>
          <cell r="S89" t="str">
            <v>Delivery-IN</v>
          </cell>
          <cell r="T89" t="str">
            <v>Hyderabad</v>
          </cell>
          <cell r="U89" t="str">
            <v xml:space="preserve">Telangana </v>
          </cell>
          <cell r="V89" t="str">
            <v>32442501520</v>
          </cell>
          <cell r="W89" t="str">
            <v>STATE BANK OF INDIA</v>
          </cell>
          <cell r="X89" t="str">
            <v>137298</v>
          </cell>
          <cell r="Y89" t="str">
            <v>EFAPS8274B</v>
          </cell>
          <cell r="Z89" t="str">
            <v>55639</v>
          </cell>
          <cell r="AA89">
            <v>51930</v>
          </cell>
          <cell r="AB89">
            <v>0</v>
          </cell>
          <cell r="AC89">
            <v>22256</v>
          </cell>
          <cell r="AD89">
            <v>20772</v>
          </cell>
          <cell r="AE89">
            <v>0</v>
          </cell>
          <cell r="AF89">
            <v>6120</v>
          </cell>
          <cell r="AG89">
            <v>5712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10000</v>
          </cell>
          <cell r="AM89">
            <v>9333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43283</v>
          </cell>
          <cell r="AS89">
            <v>40397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 t="str">
            <v>0</v>
          </cell>
          <cell r="BF89">
            <v>0</v>
          </cell>
          <cell r="BG89">
            <v>0</v>
          </cell>
          <cell r="BH89">
            <v>128144</v>
          </cell>
          <cell r="BI89">
            <v>128144</v>
          </cell>
          <cell r="BJ89">
            <v>0</v>
          </cell>
          <cell r="BK89">
            <v>0</v>
          </cell>
          <cell r="BL89">
            <v>0</v>
          </cell>
          <cell r="BM89">
            <v>200</v>
          </cell>
          <cell r="BN89">
            <v>0</v>
          </cell>
          <cell r="BO89">
            <v>0</v>
          </cell>
          <cell r="BP89">
            <v>1800</v>
          </cell>
          <cell r="BQ89">
            <v>0</v>
          </cell>
          <cell r="BR89">
            <v>1800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str">
            <v>0</v>
          </cell>
          <cell r="BZ89" t="str">
            <v>0</v>
          </cell>
          <cell r="CA89" t="str">
            <v>0</v>
          </cell>
          <cell r="CB89" t="str">
            <v>0</v>
          </cell>
          <cell r="CC89" t="str">
            <v>0</v>
          </cell>
          <cell r="CD89" t="str">
            <v>0</v>
          </cell>
          <cell r="CE89" t="str">
            <v>0</v>
          </cell>
          <cell r="CF89" t="str">
            <v>0</v>
          </cell>
          <cell r="CG89" t="str">
            <v>0</v>
          </cell>
          <cell r="CH89" t="str">
            <v>0</v>
          </cell>
          <cell r="CI89" t="str">
            <v>0</v>
          </cell>
          <cell r="CJ89" t="str">
            <v>0</v>
          </cell>
          <cell r="CK89" t="str">
            <v>0</v>
          </cell>
          <cell r="CL89" t="str">
            <v>0</v>
          </cell>
          <cell r="CM89" t="str">
            <v>0</v>
          </cell>
          <cell r="CN89" t="str">
            <v>0</v>
          </cell>
          <cell r="CO89" t="str">
            <v>0</v>
          </cell>
          <cell r="CP89" t="str">
            <v>0</v>
          </cell>
          <cell r="CQ89" t="str">
            <v>0</v>
          </cell>
          <cell r="CR89" t="str">
            <v>0</v>
          </cell>
          <cell r="CS89" t="str">
            <v>0</v>
          </cell>
          <cell r="CT89" t="str">
            <v>0</v>
          </cell>
          <cell r="CU89" t="str">
            <v>0</v>
          </cell>
          <cell r="CV89" t="str">
            <v>0</v>
          </cell>
          <cell r="CW89" t="str">
            <v>0</v>
          </cell>
          <cell r="CX89" t="str">
            <v>0</v>
          </cell>
          <cell r="CY89">
            <v>2000</v>
          </cell>
          <cell r="CZ89">
            <v>126144</v>
          </cell>
          <cell r="DA89">
            <v>0</v>
          </cell>
          <cell r="DB89">
            <v>0</v>
          </cell>
          <cell r="DC89">
            <v>126144</v>
          </cell>
        </row>
        <row r="90">
          <cell r="A90" t="str">
            <v>FS478</v>
          </cell>
          <cell r="B90" t="str">
            <v>Mayuresh Prabhakar Wagh</v>
          </cell>
          <cell r="C90" t="str">
            <v>Product Engineering</v>
          </cell>
          <cell r="D90" t="str">
            <v>05-08-2024</v>
          </cell>
          <cell r="E90" t="str">
            <v>N.A</v>
          </cell>
          <cell r="F90" t="str">
            <v>2025-10</v>
          </cell>
          <cell r="G90" t="str">
            <v>Success</v>
          </cell>
          <cell r="H90" t="str">
            <v>N.A</v>
          </cell>
          <cell r="I90" t="str">
            <v/>
          </cell>
          <cell r="J90" t="str">
            <v>30</v>
          </cell>
          <cell r="K90" t="str">
            <v>0</v>
          </cell>
          <cell r="L90" t="str">
            <v>0</v>
          </cell>
          <cell r="M90" t="str">
            <v>N.A</v>
          </cell>
          <cell r="N90" t="str">
            <v>0</v>
          </cell>
          <cell r="O90" t="str">
            <v>0</v>
          </cell>
          <cell r="P90" t="str">
            <v>30</v>
          </cell>
          <cell r="Q90" t="str">
            <v>30</v>
          </cell>
          <cell r="R90" t="str">
            <v>Senior Software Engineer</v>
          </cell>
          <cell r="S90" t="str">
            <v>Delivery-IN</v>
          </cell>
          <cell r="T90" t="str">
            <v>Hyderabad</v>
          </cell>
          <cell r="U90" t="str">
            <v xml:space="preserve">Telangana </v>
          </cell>
          <cell r="V90" t="str">
            <v>50100472455201</v>
          </cell>
          <cell r="W90" t="str">
            <v>HDFC BANK</v>
          </cell>
          <cell r="X90" t="str">
            <v>293533</v>
          </cell>
          <cell r="Y90" t="str">
            <v>ACBPW2859E</v>
          </cell>
          <cell r="Z90" t="str">
            <v>123333</v>
          </cell>
          <cell r="AA90">
            <v>123333</v>
          </cell>
          <cell r="AB90">
            <v>0</v>
          </cell>
          <cell r="AC90">
            <v>49333</v>
          </cell>
          <cell r="AD90">
            <v>49333</v>
          </cell>
          <cell r="AE90">
            <v>0</v>
          </cell>
          <cell r="AF90">
            <v>13567</v>
          </cell>
          <cell r="AG90">
            <v>13567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10000</v>
          </cell>
          <cell r="AM90">
            <v>10000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97300</v>
          </cell>
          <cell r="AS90">
            <v>97300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 t="str">
            <v>0</v>
          </cell>
          <cell r="BF90">
            <v>0</v>
          </cell>
          <cell r="BG90">
            <v>0</v>
          </cell>
          <cell r="BH90">
            <v>293533</v>
          </cell>
          <cell r="BI90">
            <v>293533</v>
          </cell>
          <cell r="BJ90">
            <v>0</v>
          </cell>
          <cell r="BK90">
            <v>0</v>
          </cell>
          <cell r="BL90">
            <v>53232</v>
          </cell>
          <cell r="BM90">
            <v>200</v>
          </cell>
          <cell r="BN90">
            <v>0</v>
          </cell>
          <cell r="BO90">
            <v>0</v>
          </cell>
          <cell r="BP90">
            <v>14800</v>
          </cell>
          <cell r="BQ90">
            <v>0</v>
          </cell>
          <cell r="BR90">
            <v>14800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 t="str">
            <v>0</v>
          </cell>
          <cell r="BZ90" t="str">
            <v>0</v>
          </cell>
          <cell r="CA90" t="str">
            <v>0</v>
          </cell>
          <cell r="CB90" t="str">
            <v>0</v>
          </cell>
          <cell r="CC90" t="str">
            <v>0</v>
          </cell>
          <cell r="CD90" t="str">
            <v>0</v>
          </cell>
          <cell r="CE90" t="str">
            <v>0</v>
          </cell>
          <cell r="CF90" t="str">
            <v>0</v>
          </cell>
          <cell r="CG90" t="str">
            <v>0</v>
          </cell>
          <cell r="CH90" t="str">
            <v>0</v>
          </cell>
          <cell r="CI90" t="str">
            <v>0</v>
          </cell>
          <cell r="CJ90" t="str">
            <v>0</v>
          </cell>
          <cell r="CK90" t="str">
            <v>0</v>
          </cell>
          <cell r="CL90" t="str">
            <v>0</v>
          </cell>
          <cell r="CM90" t="str">
            <v>0</v>
          </cell>
          <cell r="CN90" t="str">
            <v>0</v>
          </cell>
          <cell r="CO90" t="str">
            <v>0</v>
          </cell>
          <cell r="CP90" t="str">
            <v>0</v>
          </cell>
          <cell r="CQ90" t="str">
            <v>0</v>
          </cell>
          <cell r="CR90" t="str">
            <v>0</v>
          </cell>
          <cell r="CS90" t="str">
            <v>0</v>
          </cell>
          <cell r="CT90" t="str">
            <v>0</v>
          </cell>
          <cell r="CU90" t="str">
            <v>0</v>
          </cell>
          <cell r="CV90" t="str">
            <v>0</v>
          </cell>
          <cell r="CW90" t="str">
            <v>0</v>
          </cell>
          <cell r="CX90" t="str">
            <v>0</v>
          </cell>
          <cell r="CY90">
            <v>68232</v>
          </cell>
          <cell r="CZ90">
            <v>225301</v>
          </cell>
          <cell r="DA90">
            <v>0</v>
          </cell>
          <cell r="DB90">
            <v>0</v>
          </cell>
          <cell r="DC90">
            <v>225301</v>
          </cell>
        </row>
        <row r="91">
          <cell r="A91" t="str">
            <v>FS479</v>
          </cell>
          <cell r="B91" t="str">
            <v>Ankit Singh</v>
          </cell>
          <cell r="C91" t="str">
            <v>Product Engineering</v>
          </cell>
          <cell r="D91" t="str">
            <v>12-08-2024</v>
          </cell>
          <cell r="E91" t="str">
            <v>N.A</v>
          </cell>
          <cell r="F91" t="str">
            <v>2025-10</v>
          </cell>
          <cell r="G91" t="str">
            <v>Success</v>
          </cell>
          <cell r="H91" t="str">
            <v>N.A</v>
          </cell>
          <cell r="I91" t="str">
            <v/>
          </cell>
          <cell r="J91" t="str">
            <v>30</v>
          </cell>
          <cell r="K91" t="str">
            <v>0</v>
          </cell>
          <cell r="L91" t="str">
            <v>0</v>
          </cell>
          <cell r="M91" t="str">
            <v>N.A</v>
          </cell>
          <cell r="N91" t="str">
            <v>0</v>
          </cell>
          <cell r="O91" t="str">
            <v>0</v>
          </cell>
          <cell r="P91" t="str">
            <v>30</v>
          </cell>
          <cell r="Q91" t="str">
            <v>30</v>
          </cell>
          <cell r="R91" t="str">
            <v>Senior Software Engineer</v>
          </cell>
          <cell r="S91" t="str">
            <v>Delivery-IN</v>
          </cell>
          <cell r="T91" t="str">
            <v>Hyderabad</v>
          </cell>
          <cell r="U91" t="str">
            <v xml:space="preserve">Telangana </v>
          </cell>
          <cell r="V91" t="str">
            <v>50100504550315</v>
          </cell>
          <cell r="W91" t="str">
            <v>HDFC BANK</v>
          </cell>
          <cell r="X91" t="str">
            <v>303847</v>
          </cell>
          <cell r="Y91" t="str">
            <v>HHTPS2897L</v>
          </cell>
          <cell r="Z91" t="str">
            <v>127667</v>
          </cell>
          <cell r="AA91">
            <v>127667</v>
          </cell>
          <cell r="AB91">
            <v>0</v>
          </cell>
          <cell r="AC91">
            <v>51067</v>
          </cell>
          <cell r="AD91">
            <v>51067</v>
          </cell>
          <cell r="AE91">
            <v>0</v>
          </cell>
          <cell r="AF91">
            <v>14043</v>
          </cell>
          <cell r="AG91">
            <v>14043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10000</v>
          </cell>
          <cell r="AM91">
            <v>10000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101070</v>
          </cell>
          <cell r="AS91">
            <v>101070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 t="str">
            <v>0</v>
          </cell>
          <cell r="BF91">
            <v>0</v>
          </cell>
          <cell r="BG91">
            <v>0</v>
          </cell>
          <cell r="BH91">
            <v>303847</v>
          </cell>
          <cell r="BI91">
            <v>303847</v>
          </cell>
          <cell r="BJ91">
            <v>0</v>
          </cell>
          <cell r="BK91">
            <v>0</v>
          </cell>
          <cell r="BL91">
            <v>50205</v>
          </cell>
          <cell r="BM91">
            <v>200</v>
          </cell>
          <cell r="BN91">
            <v>0</v>
          </cell>
          <cell r="BO91">
            <v>0</v>
          </cell>
          <cell r="BP91">
            <v>15320</v>
          </cell>
          <cell r="BQ91">
            <v>0</v>
          </cell>
          <cell r="BR91">
            <v>15320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str">
            <v>0</v>
          </cell>
          <cell r="BZ91" t="str">
            <v>0</v>
          </cell>
          <cell r="CA91" t="str">
            <v>0</v>
          </cell>
          <cell r="CB91" t="str">
            <v>0</v>
          </cell>
          <cell r="CC91" t="str">
            <v>0</v>
          </cell>
          <cell r="CD91" t="str">
            <v>0</v>
          </cell>
          <cell r="CE91" t="str">
            <v>0</v>
          </cell>
          <cell r="CF91" t="str">
            <v>0</v>
          </cell>
          <cell r="CG91" t="str">
            <v>0</v>
          </cell>
          <cell r="CH91" t="str">
            <v>0</v>
          </cell>
          <cell r="CI91" t="str">
            <v>0</v>
          </cell>
          <cell r="CJ91" t="str">
            <v>0</v>
          </cell>
          <cell r="CK91" t="str">
            <v>0</v>
          </cell>
          <cell r="CL91" t="str">
            <v>0</v>
          </cell>
          <cell r="CM91" t="str">
            <v>0</v>
          </cell>
          <cell r="CN91" t="str">
            <v>0</v>
          </cell>
          <cell r="CO91" t="str">
            <v>0</v>
          </cell>
          <cell r="CP91" t="str">
            <v>0</v>
          </cell>
          <cell r="CQ91" t="str">
            <v>0</v>
          </cell>
          <cell r="CR91" t="str">
            <v>0</v>
          </cell>
          <cell r="CS91" t="str">
            <v>0</v>
          </cell>
          <cell r="CT91" t="str">
            <v>0</v>
          </cell>
          <cell r="CU91" t="str">
            <v>0</v>
          </cell>
          <cell r="CV91" t="str">
            <v>0</v>
          </cell>
          <cell r="CW91" t="str">
            <v>0</v>
          </cell>
          <cell r="CX91" t="str">
            <v>0</v>
          </cell>
          <cell r="CY91">
            <v>65725</v>
          </cell>
          <cell r="CZ91">
            <v>238122</v>
          </cell>
          <cell r="DA91">
            <v>0</v>
          </cell>
          <cell r="DB91">
            <v>0</v>
          </cell>
          <cell r="DC91">
            <v>238122</v>
          </cell>
        </row>
        <row r="92">
          <cell r="A92" t="str">
            <v>FS482</v>
          </cell>
          <cell r="B92" t="str">
            <v>Damarakamalam Goutham Raj,</v>
          </cell>
          <cell r="C92" t="str">
            <v>Quality Engineering</v>
          </cell>
          <cell r="D92" t="str">
            <v>11-09-2024</v>
          </cell>
          <cell r="E92" t="str">
            <v>N.A</v>
          </cell>
          <cell r="F92" t="str">
            <v>2025-10</v>
          </cell>
          <cell r="G92" t="str">
            <v>Success</v>
          </cell>
          <cell r="H92" t="str">
            <v>N.A</v>
          </cell>
          <cell r="I92" t="str">
            <v/>
          </cell>
          <cell r="J92" t="str">
            <v>30</v>
          </cell>
          <cell r="K92" t="str">
            <v>0</v>
          </cell>
          <cell r="L92" t="str">
            <v>0</v>
          </cell>
          <cell r="M92" t="str">
            <v>N.A</v>
          </cell>
          <cell r="N92" t="str">
            <v>0</v>
          </cell>
          <cell r="O92" t="str">
            <v>0</v>
          </cell>
          <cell r="P92" t="str">
            <v>30</v>
          </cell>
          <cell r="Q92" t="str">
            <v>30</v>
          </cell>
          <cell r="R92" t="str">
            <v>Software development Engineer in test II (SDET-II)</v>
          </cell>
          <cell r="S92" t="str">
            <v>Delivery-IN</v>
          </cell>
          <cell r="T92" t="str">
            <v>Hyderabad</v>
          </cell>
          <cell r="U92" t="str">
            <v xml:space="preserve">Telangana </v>
          </cell>
          <cell r="V92" t="str">
            <v>50100763494721</v>
          </cell>
          <cell r="W92" t="str">
            <v>HDFC BANK</v>
          </cell>
          <cell r="X92" t="str">
            <v>138708</v>
          </cell>
          <cell r="Y92" t="str">
            <v>CTAPD1250J</v>
          </cell>
          <cell r="Z92" t="str">
            <v>58281</v>
          </cell>
          <cell r="AA92">
            <v>58281</v>
          </cell>
          <cell r="AB92">
            <v>0</v>
          </cell>
          <cell r="AC92">
            <v>23312</v>
          </cell>
          <cell r="AD92">
            <v>23312</v>
          </cell>
          <cell r="AE92">
            <v>0</v>
          </cell>
          <cell r="AF92">
            <v>6411</v>
          </cell>
          <cell r="AG92">
            <v>6411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10000</v>
          </cell>
          <cell r="AM92">
            <v>10000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40704</v>
          </cell>
          <cell r="AS92">
            <v>40704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 t="str">
            <v>0</v>
          </cell>
          <cell r="BF92">
            <v>0</v>
          </cell>
          <cell r="BG92">
            <v>0</v>
          </cell>
          <cell r="BH92">
            <v>138708</v>
          </cell>
          <cell r="BI92">
            <v>138708</v>
          </cell>
          <cell r="BJ92">
            <v>0</v>
          </cell>
          <cell r="BK92">
            <v>0</v>
          </cell>
          <cell r="BL92">
            <v>10264</v>
          </cell>
          <cell r="BM92">
            <v>200</v>
          </cell>
          <cell r="BN92">
            <v>0</v>
          </cell>
          <cell r="BO92">
            <v>0</v>
          </cell>
          <cell r="BP92">
            <v>6994</v>
          </cell>
          <cell r="BQ92">
            <v>0</v>
          </cell>
          <cell r="BR92">
            <v>6994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 t="str">
            <v>0</v>
          </cell>
          <cell r="BZ92" t="str">
            <v>0</v>
          </cell>
          <cell r="CA92" t="str">
            <v>0</v>
          </cell>
          <cell r="CB92" t="str">
            <v>0</v>
          </cell>
          <cell r="CC92" t="str">
            <v>0</v>
          </cell>
          <cell r="CD92" t="str">
            <v>0</v>
          </cell>
          <cell r="CE92" t="str">
            <v>0</v>
          </cell>
          <cell r="CF92" t="str">
            <v>0</v>
          </cell>
          <cell r="CG92" t="str">
            <v>0</v>
          </cell>
          <cell r="CH92" t="str">
            <v>0</v>
          </cell>
          <cell r="CI92" t="str">
            <v>0</v>
          </cell>
          <cell r="CJ92" t="str">
            <v>0</v>
          </cell>
          <cell r="CK92" t="str">
            <v>0</v>
          </cell>
          <cell r="CL92" t="str">
            <v>0</v>
          </cell>
          <cell r="CM92" t="str">
            <v>0</v>
          </cell>
          <cell r="CN92" t="str">
            <v>0</v>
          </cell>
          <cell r="CO92" t="str">
            <v>0</v>
          </cell>
          <cell r="CP92" t="str">
            <v>0</v>
          </cell>
          <cell r="CQ92" t="str">
            <v>0</v>
          </cell>
          <cell r="CR92" t="str">
            <v>0</v>
          </cell>
          <cell r="CS92" t="str">
            <v>0</v>
          </cell>
          <cell r="CT92" t="str">
            <v>0</v>
          </cell>
          <cell r="CU92" t="str">
            <v>0</v>
          </cell>
          <cell r="CV92" t="str">
            <v>0</v>
          </cell>
          <cell r="CW92" t="str">
            <v>0</v>
          </cell>
          <cell r="CX92" t="str">
            <v>0</v>
          </cell>
          <cell r="CY92">
            <v>17458</v>
          </cell>
          <cell r="CZ92">
            <v>121250</v>
          </cell>
          <cell r="DA92">
            <v>0</v>
          </cell>
          <cell r="DB92">
            <v>0</v>
          </cell>
          <cell r="DC92">
            <v>121250</v>
          </cell>
        </row>
        <row r="93">
          <cell r="A93" t="str">
            <v>FS483</v>
          </cell>
          <cell r="B93" t="str">
            <v>Bellam Sreedhar</v>
          </cell>
          <cell r="C93" t="str">
            <v>Product Engineering</v>
          </cell>
          <cell r="D93" t="str">
            <v>23-09-2024</v>
          </cell>
          <cell r="E93" t="str">
            <v>N.A</v>
          </cell>
          <cell r="F93" t="str">
            <v>2025-10</v>
          </cell>
          <cell r="G93" t="str">
            <v>Success</v>
          </cell>
          <cell r="H93" t="str">
            <v>N.A</v>
          </cell>
          <cell r="I93" t="str">
            <v/>
          </cell>
          <cell r="J93" t="str">
            <v>30</v>
          </cell>
          <cell r="K93" t="str">
            <v>0</v>
          </cell>
          <cell r="L93" t="str">
            <v>0</v>
          </cell>
          <cell r="M93" t="str">
            <v>N.A</v>
          </cell>
          <cell r="N93" t="str">
            <v>0</v>
          </cell>
          <cell r="O93" t="str">
            <v>0</v>
          </cell>
          <cell r="P93" t="str">
            <v>30</v>
          </cell>
          <cell r="Q93" t="str">
            <v>30</v>
          </cell>
          <cell r="R93" t="str">
            <v>Senior Software Engineer</v>
          </cell>
          <cell r="S93" t="str">
            <v>Delivery-IN</v>
          </cell>
          <cell r="T93" t="str">
            <v>Hyderabad</v>
          </cell>
          <cell r="U93" t="str">
            <v xml:space="preserve">Telangana </v>
          </cell>
          <cell r="V93" t="str">
            <v>50100760129200</v>
          </cell>
          <cell r="W93" t="str">
            <v>HDFC BANK</v>
          </cell>
          <cell r="X93" t="str">
            <v>241033</v>
          </cell>
          <cell r="Y93" t="str">
            <v>ESHPB2171J</v>
          </cell>
          <cell r="Z93" t="str">
            <v>97133</v>
          </cell>
          <cell r="AA93">
            <v>97133</v>
          </cell>
          <cell r="AB93">
            <v>0</v>
          </cell>
          <cell r="AC93">
            <v>38853</v>
          </cell>
          <cell r="AD93">
            <v>38853</v>
          </cell>
          <cell r="AE93">
            <v>0</v>
          </cell>
          <cell r="AF93">
            <v>10685</v>
          </cell>
          <cell r="AG93">
            <v>10685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10000</v>
          </cell>
          <cell r="AM93">
            <v>10000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84362</v>
          </cell>
          <cell r="AS93">
            <v>84362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 t="str">
            <v>0</v>
          </cell>
          <cell r="BF93">
            <v>0</v>
          </cell>
          <cell r="BG93">
            <v>0</v>
          </cell>
          <cell r="BH93">
            <v>241033</v>
          </cell>
          <cell r="BI93">
            <v>241033</v>
          </cell>
          <cell r="BJ93">
            <v>0</v>
          </cell>
          <cell r="BK93">
            <v>0</v>
          </cell>
          <cell r="BL93">
            <v>36797</v>
          </cell>
          <cell r="BM93">
            <v>200</v>
          </cell>
          <cell r="BN93">
            <v>0</v>
          </cell>
          <cell r="BO93">
            <v>0</v>
          </cell>
          <cell r="BP93">
            <v>1800</v>
          </cell>
          <cell r="BQ93">
            <v>0</v>
          </cell>
          <cell r="BR93">
            <v>1800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str">
            <v>0</v>
          </cell>
          <cell r="BZ93" t="str">
            <v>0</v>
          </cell>
          <cell r="CA93" t="str">
            <v>0</v>
          </cell>
          <cell r="CB93" t="str">
            <v>0</v>
          </cell>
          <cell r="CC93" t="str">
            <v>0</v>
          </cell>
          <cell r="CD93" t="str">
            <v>0</v>
          </cell>
          <cell r="CE93" t="str">
            <v>0</v>
          </cell>
          <cell r="CF93" t="str">
            <v>0</v>
          </cell>
          <cell r="CG93" t="str">
            <v>0</v>
          </cell>
          <cell r="CH93" t="str">
            <v>0</v>
          </cell>
          <cell r="CI93" t="str">
            <v>0</v>
          </cell>
          <cell r="CJ93" t="str">
            <v>0</v>
          </cell>
          <cell r="CK93" t="str">
            <v>0</v>
          </cell>
          <cell r="CL93" t="str">
            <v>0</v>
          </cell>
          <cell r="CM93" t="str">
            <v>0</v>
          </cell>
          <cell r="CN93" t="str">
            <v>0</v>
          </cell>
          <cell r="CO93" t="str">
            <v>0</v>
          </cell>
          <cell r="CP93" t="str">
            <v>0</v>
          </cell>
          <cell r="CQ93" t="str">
            <v>0</v>
          </cell>
          <cell r="CR93" t="str">
            <v>0</v>
          </cell>
          <cell r="CS93" t="str">
            <v>0</v>
          </cell>
          <cell r="CT93" t="str">
            <v>0</v>
          </cell>
          <cell r="CU93" t="str">
            <v>0</v>
          </cell>
          <cell r="CV93" t="str">
            <v>0</v>
          </cell>
          <cell r="CW93" t="str">
            <v>0</v>
          </cell>
          <cell r="CX93" t="str">
            <v>0</v>
          </cell>
          <cell r="CY93">
            <v>38797</v>
          </cell>
          <cell r="CZ93">
            <v>202236</v>
          </cell>
          <cell r="DA93">
            <v>0</v>
          </cell>
          <cell r="DB93">
            <v>0</v>
          </cell>
          <cell r="DC93">
            <v>202236</v>
          </cell>
        </row>
        <row r="94">
          <cell r="A94" t="str">
            <v>FS485</v>
          </cell>
          <cell r="B94" t="str">
            <v>V  Hema Chandra</v>
          </cell>
          <cell r="C94" t="str">
            <v>Product Engineering</v>
          </cell>
          <cell r="D94" t="str">
            <v>25-09-2024</v>
          </cell>
          <cell r="E94" t="str">
            <v>N.A</v>
          </cell>
          <cell r="F94" t="str">
            <v>2025-10</v>
          </cell>
          <cell r="G94" t="str">
            <v>Success</v>
          </cell>
          <cell r="H94" t="str">
            <v>N.A</v>
          </cell>
          <cell r="I94" t="str">
            <v/>
          </cell>
          <cell r="J94" t="str">
            <v>30</v>
          </cell>
          <cell r="K94" t="str">
            <v>0</v>
          </cell>
          <cell r="L94" t="str">
            <v>0</v>
          </cell>
          <cell r="M94" t="str">
            <v>N.A</v>
          </cell>
          <cell r="N94" t="str">
            <v>0</v>
          </cell>
          <cell r="O94" t="str">
            <v>0</v>
          </cell>
          <cell r="P94" t="str">
            <v>30</v>
          </cell>
          <cell r="Q94" t="str">
            <v>30</v>
          </cell>
          <cell r="R94" t="str">
            <v>Senior QA - Performance Test Engineer</v>
          </cell>
          <cell r="S94" t="str">
            <v>Delivery-IN</v>
          </cell>
          <cell r="T94" t="str">
            <v>Hyderabad</v>
          </cell>
          <cell r="U94" t="str">
            <v xml:space="preserve">Telangana </v>
          </cell>
          <cell r="V94" t="str">
            <v>50100463811537</v>
          </cell>
          <cell r="W94" t="str">
            <v>HDFC BANK</v>
          </cell>
          <cell r="X94" t="str">
            <v>136107</v>
          </cell>
          <cell r="Y94" t="str">
            <v>AMWPH8894B</v>
          </cell>
          <cell r="Z94" t="str">
            <v>55163</v>
          </cell>
          <cell r="AA94">
            <v>55163</v>
          </cell>
          <cell r="AB94">
            <v>0</v>
          </cell>
          <cell r="AC94">
            <v>22065</v>
          </cell>
          <cell r="AD94">
            <v>22065</v>
          </cell>
          <cell r="AE94">
            <v>0</v>
          </cell>
          <cell r="AF94">
            <v>6068</v>
          </cell>
          <cell r="AG94">
            <v>6068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10000</v>
          </cell>
          <cell r="AM94">
            <v>10000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42811</v>
          </cell>
          <cell r="AS94">
            <v>42811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 t="str">
            <v>0</v>
          </cell>
          <cell r="BF94">
            <v>0</v>
          </cell>
          <cell r="BG94">
            <v>0</v>
          </cell>
          <cell r="BH94">
            <v>136107</v>
          </cell>
          <cell r="BI94">
            <v>136107</v>
          </cell>
          <cell r="BJ94">
            <v>0</v>
          </cell>
          <cell r="BK94">
            <v>0</v>
          </cell>
          <cell r="BL94">
            <v>9858</v>
          </cell>
          <cell r="BM94">
            <v>200</v>
          </cell>
          <cell r="BN94">
            <v>0</v>
          </cell>
          <cell r="BO94">
            <v>0</v>
          </cell>
          <cell r="BP94">
            <v>1800</v>
          </cell>
          <cell r="BQ94">
            <v>0</v>
          </cell>
          <cell r="BR94">
            <v>1800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str">
            <v>0</v>
          </cell>
          <cell r="BZ94" t="str">
            <v>0</v>
          </cell>
          <cell r="CA94" t="str">
            <v>0</v>
          </cell>
          <cell r="CB94" t="str">
            <v>0</v>
          </cell>
          <cell r="CC94" t="str">
            <v>0</v>
          </cell>
          <cell r="CD94" t="str">
            <v>0</v>
          </cell>
          <cell r="CE94" t="str">
            <v>0</v>
          </cell>
          <cell r="CF94" t="str">
            <v>0</v>
          </cell>
          <cell r="CG94" t="str">
            <v>0</v>
          </cell>
          <cell r="CH94" t="str">
            <v>0</v>
          </cell>
          <cell r="CI94" t="str">
            <v>0</v>
          </cell>
          <cell r="CJ94" t="str">
            <v>0</v>
          </cell>
          <cell r="CK94" t="str">
            <v>0</v>
          </cell>
          <cell r="CL94" t="str">
            <v>0</v>
          </cell>
          <cell r="CM94" t="str">
            <v>0</v>
          </cell>
          <cell r="CN94" t="str">
            <v>0</v>
          </cell>
          <cell r="CO94" t="str">
            <v>0</v>
          </cell>
          <cell r="CP94" t="str">
            <v>0</v>
          </cell>
          <cell r="CQ94" t="str">
            <v>0</v>
          </cell>
          <cell r="CR94" t="str">
            <v>0</v>
          </cell>
          <cell r="CS94" t="str">
            <v>0</v>
          </cell>
          <cell r="CT94" t="str">
            <v>0</v>
          </cell>
          <cell r="CU94" t="str">
            <v>0</v>
          </cell>
          <cell r="CV94" t="str">
            <v>0</v>
          </cell>
          <cell r="CW94" t="str">
            <v>0</v>
          </cell>
          <cell r="CX94" t="str">
            <v>0</v>
          </cell>
          <cell r="CY94">
            <v>11858</v>
          </cell>
          <cell r="CZ94">
            <v>124249</v>
          </cell>
          <cell r="DA94">
            <v>0</v>
          </cell>
          <cell r="DB94">
            <v>0</v>
          </cell>
          <cell r="DC94">
            <v>124249</v>
          </cell>
        </row>
        <row r="95">
          <cell r="A95" t="str">
            <v>FS486</v>
          </cell>
          <cell r="B95" t="str">
            <v>Anisha Rani</v>
          </cell>
          <cell r="C95" t="str">
            <v>Cyber Security</v>
          </cell>
          <cell r="D95" t="str">
            <v>01-10-2024</v>
          </cell>
          <cell r="E95" t="str">
            <v>N.A</v>
          </cell>
          <cell r="F95" t="str">
            <v>2025-10</v>
          </cell>
          <cell r="G95" t="str">
            <v>Success</v>
          </cell>
          <cell r="H95" t="str">
            <v>N.A</v>
          </cell>
          <cell r="I95" t="str">
            <v/>
          </cell>
          <cell r="J95" t="str">
            <v>30</v>
          </cell>
          <cell r="K95" t="str">
            <v>0</v>
          </cell>
          <cell r="L95" t="str">
            <v>0</v>
          </cell>
          <cell r="M95" t="str">
            <v>N.A</v>
          </cell>
          <cell r="N95" t="str">
            <v>0</v>
          </cell>
          <cell r="O95" t="str">
            <v>0</v>
          </cell>
          <cell r="P95" t="str">
            <v>30</v>
          </cell>
          <cell r="Q95" t="str">
            <v>30</v>
          </cell>
          <cell r="R95" t="str">
            <v>Associate Software Engineer</v>
          </cell>
          <cell r="S95" t="str">
            <v>Delivery-IN</v>
          </cell>
          <cell r="T95" t="str">
            <v>Hyderabad</v>
          </cell>
          <cell r="U95" t="str">
            <v xml:space="preserve">Telangana </v>
          </cell>
          <cell r="V95" t="str">
            <v>50100760130339</v>
          </cell>
          <cell r="W95" t="str">
            <v>HDFC BANK</v>
          </cell>
          <cell r="X95" t="str">
            <v>24263</v>
          </cell>
          <cell r="Y95" t="str">
            <v>ELFPR2636D</v>
          </cell>
          <cell r="Z95" t="str">
            <v>11667</v>
          </cell>
          <cell r="AA95">
            <v>11667</v>
          </cell>
          <cell r="AB95">
            <v>0</v>
          </cell>
          <cell r="AC95">
            <v>4667</v>
          </cell>
          <cell r="AD95">
            <v>4667</v>
          </cell>
          <cell r="AE95">
            <v>0</v>
          </cell>
          <cell r="AF95">
            <v>1283</v>
          </cell>
          <cell r="AG95">
            <v>1283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2917</v>
          </cell>
          <cell r="AM95">
            <v>2917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3729</v>
          </cell>
          <cell r="AS95">
            <v>3729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 t="str">
            <v>0</v>
          </cell>
          <cell r="BF95">
            <v>0</v>
          </cell>
          <cell r="BG95">
            <v>0</v>
          </cell>
          <cell r="BH95">
            <v>24263</v>
          </cell>
          <cell r="BI95">
            <v>24263</v>
          </cell>
          <cell r="BJ95">
            <v>0</v>
          </cell>
          <cell r="BK95">
            <v>0</v>
          </cell>
          <cell r="BL95">
            <v>0</v>
          </cell>
          <cell r="BM95">
            <v>200</v>
          </cell>
          <cell r="BN95">
            <v>0</v>
          </cell>
          <cell r="BO95">
            <v>0</v>
          </cell>
          <cell r="BP95">
            <v>1800</v>
          </cell>
          <cell r="BQ95">
            <v>0</v>
          </cell>
          <cell r="BR95">
            <v>1800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str">
            <v>0</v>
          </cell>
          <cell r="BZ95" t="str">
            <v>0</v>
          </cell>
          <cell r="CA95" t="str">
            <v>0</v>
          </cell>
          <cell r="CB95" t="str">
            <v>0</v>
          </cell>
          <cell r="CC95" t="str">
            <v>0</v>
          </cell>
          <cell r="CD95" t="str">
            <v>0</v>
          </cell>
          <cell r="CE95" t="str">
            <v>0</v>
          </cell>
          <cell r="CF95" t="str">
            <v>0</v>
          </cell>
          <cell r="CG95" t="str">
            <v>0</v>
          </cell>
          <cell r="CH95" t="str">
            <v>0</v>
          </cell>
          <cell r="CI95" t="str">
            <v>0</v>
          </cell>
          <cell r="CJ95" t="str">
            <v>0</v>
          </cell>
          <cell r="CK95" t="str">
            <v>0</v>
          </cell>
          <cell r="CL95" t="str">
            <v>0</v>
          </cell>
          <cell r="CM95" t="str">
            <v>0</v>
          </cell>
          <cell r="CN95" t="str">
            <v>0</v>
          </cell>
          <cell r="CO95" t="str">
            <v>0</v>
          </cell>
          <cell r="CP95" t="str">
            <v>0</v>
          </cell>
          <cell r="CQ95" t="str">
            <v>0</v>
          </cell>
          <cell r="CR95" t="str">
            <v>0</v>
          </cell>
          <cell r="CS95" t="str">
            <v>0</v>
          </cell>
          <cell r="CT95" t="str">
            <v>0</v>
          </cell>
          <cell r="CU95" t="str">
            <v>0</v>
          </cell>
          <cell r="CV95" t="str">
            <v>0</v>
          </cell>
          <cell r="CW95" t="str">
            <v>0</v>
          </cell>
          <cell r="CX95" t="str">
            <v>0</v>
          </cell>
          <cell r="CY95">
            <v>2000</v>
          </cell>
          <cell r="CZ95">
            <v>22263</v>
          </cell>
          <cell r="DA95">
            <v>0</v>
          </cell>
          <cell r="DB95">
            <v>0</v>
          </cell>
          <cell r="DC95">
            <v>22263</v>
          </cell>
        </row>
        <row r="96">
          <cell r="A96" t="str">
            <v>FS487</v>
          </cell>
          <cell r="B96" t="str">
            <v>Jaggumantri Jyothi Bhargavi</v>
          </cell>
          <cell r="C96" t="str">
            <v>Cyber Security</v>
          </cell>
          <cell r="D96" t="str">
            <v>01-10-2024</v>
          </cell>
          <cell r="E96" t="str">
            <v>N.A</v>
          </cell>
          <cell r="F96" t="str">
            <v>2025-10</v>
          </cell>
          <cell r="G96" t="str">
            <v>Success</v>
          </cell>
          <cell r="H96" t="str">
            <v>N.A</v>
          </cell>
          <cell r="I96" t="str">
            <v/>
          </cell>
          <cell r="J96" t="str">
            <v>30</v>
          </cell>
          <cell r="K96" t="str">
            <v>0</v>
          </cell>
          <cell r="L96" t="str">
            <v>0</v>
          </cell>
          <cell r="M96" t="str">
            <v>N.A</v>
          </cell>
          <cell r="N96" t="str">
            <v>0</v>
          </cell>
          <cell r="O96" t="str">
            <v>0</v>
          </cell>
          <cell r="P96" t="str">
            <v>30</v>
          </cell>
          <cell r="Q96" t="str">
            <v>30</v>
          </cell>
          <cell r="R96" t="str">
            <v>Associate Software Engineer</v>
          </cell>
          <cell r="S96" t="str">
            <v>Delivery-IN</v>
          </cell>
          <cell r="T96" t="str">
            <v>Hyderabad</v>
          </cell>
          <cell r="U96" t="str">
            <v xml:space="preserve">Telangana </v>
          </cell>
          <cell r="V96" t="str">
            <v>50100760130326</v>
          </cell>
          <cell r="W96" t="str">
            <v>HDFC BANK</v>
          </cell>
          <cell r="X96" t="str">
            <v>24263</v>
          </cell>
          <cell r="Y96" t="str">
            <v>GSPPB2115A</v>
          </cell>
          <cell r="Z96" t="str">
            <v>11667</v>
          </cell>
          <cell r="AA96">
            <v>11667</v>
          </cell>
          <cell r="AB96">
            <v>0</v>
          </cell>
          <cell r="AC96">
            <v>4667</v>
          </cell>
          <cell r="AD96">
            <v>4667</v>
          </cell>
          <cell r="AE96">
            <v>0</v>
          </cell>
          <cell r="AF96">
            <v>1283</v>
          </cell>
          <cell r="AG96">
            <v>1283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2917</v>
          </cell>
          <cell r="AM96">
            <v>2917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3729</v>
          </cell>
          <cell r="AS96">
            <v>3729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 t="str">
            <v>0</v>
          </cell>
          <cell r="BF96">
            <v>0</v>
          </cell>
          <cell r="BG96">
            <v>0</v>
          </cell>
          <cell r="BH96">
            <v>24263</v>
          </cell>
          <cell r="BI96">
            <v>24263</v>
          </cell>
          <cell r="BJ96">
            <v>0</v>
          </cell>
          <cell r="BK96">
            <v>0</v>
          </cell>
          <cell r="BL96">
            <v>0</v>
          </cell>
          <cell r="BM96">
            <v>200</v>
          </cell>
          <cell r="BN96">
            <v>0</v>
          </cell>
          <cell r="BO96">
            <v>0</v>
          </cell>
          <cell r="BP96">
            <v>1800</v>
          </cell>
          <cell r="BQ96">
            <v>0</v>
          </cell>
          <cell r="BR96">
            <v>1800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str">
            <v>0</v>
          </cell>
          <cell r="BZ96" t="str">
            <v>0</v>
          </cell>
          <cell r="CA96" t="str">
            <v>0</v>
          </cell>
          <cell r="CB96" t="str">
            <v>0</v>
          </cell>
          <cell r="CC96" t="str">
            <v>0</v>
          </cell>
          <cell r="CD96" t="str">
            <v>0</v>
          </cell>
          <cell r="CE96" t="str">
            <v>0</v>
          </cell>
          <cell r="CF96" t="str">
            <v>0</v>
          </cell>
          <cell r="CG96" t="str">
            <v>0</v>
          </cell>
          <cell r="CH96" t="str">
            <v>0</v>
          </cell>
          <cell r="CI96" t="str">
            <v>0</v>
          </cell>
          <cell r="CJ96" t="str">
            <v>0</v>
          </cell>
          <cell r="CK96" t="str">
            <v>0</v>
          </cell>
          <cell r="CL96" t="str">
            <v>0</v>
          </cell>
          <cell r="CM96" t="str">
            <v>0</v>
          </cell>
          <cell r="CN96" t="str">
            <v>0</v>
          </cell>
          <cell r="CO96" t="str">
            <v>0</v>
          </cell>
          <cell r="CP96" t="str">
            <v>0</v>
          </cell>
          <cell r="CQ96" t="str">
            <v>0</v>
          </cell>
          <cell r="CR96" t="str">
            <v>0</v>
          </cell>
          <cell r="CS96" t="str">
            <v>0</v>
          </cell>
          <cell r="CT96" t="str">
            <v>0</v>
          </cell>
          <cell r="CU96" t="str">
            <v>0</v>
          </cell>
          <cell r="CV96" t="str">
            <v>0</v>
          </cell>
          <cell r="CW96" t="str">
            <v>0</v>
          </cell>
          <cell r="CX96" t="str">
            <v>0</v>
          </cell>
          <cell r="CY96">
            <v>2000</v>
          </cell>
          <cell r="CZ96">
            <v>22263</v>
          </cell>
          <cell r="DA96">
            <v>0</v>
          </cell>
          <cell r="DB96">
            <v>0</v>
          </cell>
          <cell r="DC96">
            <v>22263</v>
          </cell>
        </row>
        <row r="97">
          <cell r="A97" t="str">
            <v>FS488</v>
          </cell>
          <cell r="B97" t="str">
            <v>Bayapureddy Mula Rajeswari</v>
          </cell>
          <cell r="C97" t="str">
            <v>Cyber Security</v>
          </cell>
          <cell r="D97" t="str">
            <v>01-10-2024</v>
          </cell>
          <cell r="E97" t="str">
            <v>N.A</v>
          </cell>
          <cell r="F97" t="str">
            <v>2025-10</v>
          </cell>
          <cell r="G97" t="str">
            <v>Success</v>
          </cell>
          <cell r="H97" t="str">
            <v>N.A</v>
          </cell>
          <cell r="I97" t="str">
            <v/>
          </cell>
          <cell r="J97" t="str">
            <v>30</v>
          </cell>
          <cell r="K97" t="str">
            <v>0</v>
          </cell>
          <cell r="L97" t="str">
            <v>0</v>
          </cell>
          <cell r="M97" t="str">
            <v>N.A</v>
          </cell>
          <cell r="N97" t="str">
            <v>0</v>
          </cell>
          <cell r="O97" t="str">
            <v>0</v>
          </cell>
          <cell r="P97" t="str">
            <v>30</v>
          </cell>
          <cell r="Q97" t="str">
            <v>30</v>
          </cell>
          <cell r="R97" t="str">
            <v>Associate Software Engineer</v>
          </cell>
          <cell r="S97" t="str">
            <v>Delivery-IN</v>
          </cell>
          <cell r="T97" t="str">
            <v>Hyderabad</v>
          </cell>
          <cell r="U97" t="str">
            <v xml:space="preserve">Telangana </v>
          </cell>
          <cell r="V97" t="str">
            <v>50100760130313</v>
          </cell>
          <cell r="W97" t="str">
            <v>HDFC BANK</v>
          </cell>
          <cell r="X97" t="str">
            <v>24263</v>
          </cell>
          <cell r="Y97" t="str">
            <v>GNXPB3009N</v>
          </cell>
          <cell r="Z97" t="str">
            <v>11667</v>
          </cell>
          <cell r="AA97">
            <v>11667</v>
          </cell>
          <cell r="AB97">
            <v>0</v>
          </cell>
          <cell r="AC97">
            <v>4667</v>
          </cell>
          <cell r="AD97">
            <v>4667</v>
          </cell>
          <cell r="AE97">
            <v>0</v>
          </cell>
          <cell r="AF97">
            <v>1283</v>
          </cell>
          <cell r="AG97">
            <v>1283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2917</v>
          </cell>
          <cell r="AM97">
            <v>2917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3729</v>
          </cell>
          <cell r="AS97">
            <v>3729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 t="str">
            <v>0</v>
          </cell>
          <cell r="BF97">
            <v>0</v>
          </cell>
          <cell r="BG97">
            <v>0</v>
          </cell>
          <cell r="BH97">
            <v>24263</v>
          </cell>
          <cell r="BI97">
            <v>24263</v>
          </cell>
          <cell r="BJ97">
            <v>0</v>
          </cell>
          <cell r="BK97">
            <v>0</v>
          </cell>
          <cell r="BL97">
            <v>0</v>
          </cell>
          <cell r="BM97">
            <v>200</v>
          </cell>
          <cell r="BN97">
            <v>0</v>
          </cell>
          <cell r="BO97">
            <v>0</v>
          </cell>
          <cell r="BP97">
            <v>1800</v>
          </cell>
          <cell r="BQ97">
            <v>0</v>
          </cell>
          <cell r="BR97">
            <v>1800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str">
            <v>0</v>
          </cell>
          <cell r="BZ97" t="str">
            <v>0</v>
          </cell>
          <cell r="CA97" t="str">
            <v>0</v>
          </cell>
          <cell r="CB97" t="str">
            <v>0</v>
          </cell>
          <cell r="CC97" t="str">
            <v>0</v>
          </cell>
          <cell r="CD97" t="str">
            <v>0</v>
          </cell>
          <cell r="CE97" t="str">
            <v>0</v>
          </cell>
          <cell r="CF97" t="str">
            <v>0</v>
          </cell>
          <cell r="CG97" t="str">
            <v>0</v>
          </cell>
          <cell r="CH97" t="str">
            <v>0</v>
          </cell>
          <cell r="CI97" t="str">
            <v>0</v>
          </cell>
          <cell r="CJ97" t="str">
            <v>0</v>
          </cell>
          <cell r="CK97" t="str">
            <v>0</v>
          </cell>
          <cell r="CL97" t="str">
            <v>0</v>
          </cell>
          <cell r="CM97" t="str">
            <v>0</v>
          </cell>
          <cell r="CN97" t="str">
            <v>0</v>
          </cell>
          <cell r="CO97" t="str">
            <v>0</v>
          </cell>
          <cell r="CP97" t="str">
            <v>0</v>
          </cell>
          <cell r="CQ97" t="str">
            <v>0</v>
          </cell>
          <cell r="CR97" t="str">
            <v>0</v>
          </cell>
          <cell r="CS97" t="str">
            <v>0</v>
          </cell>
          <cell r="CT97" t="str">
            <v>0</v>
          </cell>
          <cell r="CU97" t="str">
            <v>0</v>
          </cell>
          <cell r="CV97" t="str">
            <v>0</v>
          </cell>
          <cell r="CW97" t="str">
            <v>0</v>
          </cell>
          <cell r="CX97" t="str">
            <v>0</v>
          </cell>
          <cell r="CY97">
            <v>2000</v>
          </cell>
          <cell r="CZ97">
            <v>22263</v>
          </cell>
          <cell r="DA97">
            <v>0</v>
          </cell>
          <cell r="DB97">
            <v>0</v>
          </cell>
          <cell r="DC97">
            <v>22263</v>
          </cell>
        </row>
        <row r="98">
          <cell r="A98" t="str">
            <v>FS489</v>
          </cell>
          <cell r="B98" t="str">
            <v>Dumpeti Supriya</v>
          </cell>
          <cell r="C98" t="str">
            <v>Cyber Security</v>
          </cell>
          <cell r="D98" t="str">
            <v>01-10-2024</v>
          </cell>
          <cell r="E98" t="str">
            <v>N.A</v>
          </cell>
          <cell r="F98" t="str">
            <v>2025-10</v>
          </cell>
          <cell r="G98" t="str">
            <v>Success</v>
          </cell>
          <cell r="H98" t="str">
            <v>N.A</v>
          </cell>
          <cell r="I98" t="str">
            <v/>
          </cell>
          <cell r="J98" t="str">
            <v>30</v>
          </cell>
          <cell r="K98" t="str">
            <v>0</v>
          </cell>
          <cell r="L98" t="str">
            <v>0</v>
          </cell>
          <cell r="M98" t="str">
            <v>N.A</v>
          </cell>
          <cell r="N98" t="str">
            <v>0</v>
          </cell>
          <cell r="O98" t="str">
            <v>0</v>
          </cell>
          <cell r="P98" t="str">
            <v>30</v>
          </cell>
          <cell r="Q98" t="str">
            <v>30</v>
          </cell>
          <cell r="R98" t="str">
            <v>Associate Software Engineer</v>
          </cell>
          <cell r="S98" t="str">
            <v>Delivery-IN</v>
          </cell>
          <cell r="T98" t="str">
            <v>Hyderabad</v>
          </cell>
          <cell r="U98" t="str">
            <v xml:space="preserve">Telangana </v>
          </cell>
          <cell r="V98" t="str">
            <v>50100760130342</v>
          </cell>
          <cell r="W98" t="str">
            <v>HDFC BANK</v>
          </cell>
          <cell r="X98" t="str">
            <v>24263</v>
          </cell>
          <cell r="Y98" t="str">
            <v>HEIPD4422N</v>
          </cell>
          <cell r="Z98" t="str">
            <v>11667</v>
          </cell>
          <cell r="AA98">
            <v>11667</v>
          </cell>
          <cell r="AB98">
            <v>0</v>
          </cell>
          <cell r="AC98">
            <v>4667</v>
          </cell>
          <cell r="AD98">
            <v>4667</v>
          </cell>
          <cell r="AE98">
            <v>0</v>
          </cell>
          <cell r="AF98">
            <v>1283</v>
          </cell>
          <cell r="AG98">
            <v>1283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2917</v>
          </cell>
          <cell r="AM98">
            <v>2917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3729</v>
          </cell>
          <cell r="AS98">
            <v>3729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 t="str">
            <v>0</v>
          </cell>
          <cell r="BF98">
            <v>0</v>
          </cell>
          <cell r="BG98">
            <v>0</v>
          </cell>
          <cell r="BH98">
            <v>24263</v>
          </cell>
          <cell r="BI98">
            <v>24263</v>
          </cell>
          <cell r="BJ98">
            <v>0</v>
          </cell>
          <cell r="BK98">
            <v>0</v>
          </cell>
          <cell r="BL98">
            <v>0</v>
          </cell>
          <cell r="BM98">
            <v>200</v>
          </cell>
          <cell r="BN98">
            <v>0</v>
          </cell>
          <cell r="BO98">
            <v>0</v>
          </cell>
          <cell r="BP98">
            <v>1800</v>
          </cell>
          <cell r="BQ98">
            <v>0</v>
          </cell>
          <cell r="BR98">
            <v>1800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 t="str">
            <v>0</v>
          </cell>
          <cell r="BZ98" t="str">
            <v>0</v>
          </cell>
          <cell r="CA98" t="str">
            <v>0</v>
          </cell>
          <cell r="CB98" t="str">
            <v>0</v>
          </cell>
          <cell r="CC98" t="str">
            <v>0</v>
          </cell>
          <cell r="CD98" t="str">
            <v>0</v>
          </cell>
          <cell r="CE98" t="str">
            <v>0</v>
          </cell>
          <cell r="CF98" t="str">
            <v>0</v>
          </cell>
          <cell r="CG98" t="str">
            <v>0</v>
          </cell>
          <cell r="CH98" t="str">
            <v>0</v>
          </cell>
          <cell r="CI98" t="str">
            <v>0</v>
          </cell>
          <cell r="CJ98" t="str">
            <v>0</v>
          </cell>
          <cell r="CK98" t="str">
            <v>0</v>
          </cell>
          <cell r="CL98" t="str">
            <v>0</v>
          </cell>
          <cell r="CM98" t="str">
            <v>0</v>
          </cell>
          <cell r="CN98" t="str">
            <v>0</v>
          </cell>
          <cell r="CO98" t="str">
            <v>0</v>
          </cell>
          <cell r="CP98" t="str">
            <v>0</v>
          </cell>
          <cell r="CQ98" t="str">
            <v>0</v>
          </cell>
          <cell r="CR98" t="str">
            <v>0</v>
          </cell>
          <cell r="CS98" t="str">
            <v>0</v>
          </cell>
          <cell r="CT98" t="str">
            <v>0</v>
          </cell>
          <cell r="CU98" t="str">
            <v>0</v>
          </cell>
          <cell r="CV98" t="str">
            <v>0</v>
          </cell>
          <cell r="CW98" t="str">
            <v>0</v>
          </cell>
          <cell r="CX98" t="str">
            <v>0</v>
          </cell>
          <cell r="CY98">
            <v>2000</v>
          </cell>
          <cell r="CZ98">
            <v>22263</v>
          </cell>
          <cell r="DA98">
            <v>0</v>
          </cell>
          <cell r="DB98">
            <v>0</v>
          </cell>
          <cell r="DC98">
            <v>22263</v>
          </cell>
        </row>
        <row r="99">
          <cell r="A99" t="str">
            <v>FS490</v>
          </cell>
          <cell r="B99" t="str">
            <v>Rakhi Mandal</v>
          </cell>
          <cell r="C99" t="str">
            <v>Quality Engineering</v>
          </cell>
          <cell r="D99" t="str">
            <v>01-10-2024</v>
          </cell>
          <cell r="E99" t="str">
            <v>N.A</v>
          </cell>
          <cell r="F99" t="str">
            <v>2025-10</v>
          </cell>
          <cell r="G99" t="str">
            <v>Success</v>
          </cell>
          <cell r="H99" t="str">
            <v>N.A</v>
          </cell>
          <cell r="I99" t="str">
            <v/>
          </cell>
          <cell r="J99" t="str">
            <v>30</v>
          </cell>
          <cell r="K99" t="str">
            <v>0</v>
          </cell>
          <cell r="L99" t="str">
            <v>0</v>
          </cell>
          <cell r="M99" t="str">
            <v>N.A</v>
          </cell>
          <cell r="N99" t="str">
            <v>0</v>
          </cell>
          <cell r="O99" t="str">
            <v>0</v>
          </cell>
          <cell r="P99" t="str">
            <v>30</v>
          </cell>
          <cell r="Q99" t="str">
            <v>30</v>
          </cell>
          <cell r="R99" t="str">
            <v>Associate software engineer</v>
          </cell>
          <cell r="S99" t="str">
            <v>Delivery-IN</v>
          </cell>
          <cell r="T99" t="str">
            <v>Hyderabad</v>
          </cell>
          <cell r="U99" t="str">
            <v xml:space="preserve">Telangana </v>
          </cell>
          <cell r="V99" t="str">
            <v>50100760130289</v>
          </cell>
          <cell r="W99" t="str">
            <v>HDFC BANK</v>
          </cell>
          <cell r="X99" t="str">
            <v>24263</v>
          </cell>
          <cell r="Y99" t="str">
            <v>HJRPM3465E</v>
          </cell>
          <cell r="Z99" t="str">
            <v>11667</v>
          </cell>
          <cell r="AA99">
            <v>11667</v>
          </cell>
          <cell r="AB99">
            <v>0</v>
          </cell>
          <cell r="AC99">
            <v>4667</v>
          </cell>
          <cell r="AD99">
            <v>4667</v>
          </cell>
          <cell r="AE99">
            <v>0</v>
          </cell>
          <cell r="AF99">
            <v>1283</v>
          </cell>
          <cell r="AG99">
            <v>1283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2917</v>
          </cell>
          <cell r="AM99">
            <v>2917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3729</v>
          </cell>
          <cell r="AS99">
            <v>3729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 t="str">
            <v>0</v>
          </cell>
          <cell r="BF99">
            <v>0</v>
          </cell>
          <cell r="BG99">
            <v>0</v>
          </cell>
          <cell r="BH99">
            <v>24263</v>
          </cell>
          <cell r="BI99">
            <v>24263</v>
          </cell>
          <cell r="BJ99">
            <v>0</v>
          </cell>
          <cell r="BK99">
            <v>0</v>
          </cell>
          <cell r="BL99">
            <v>0</v>
          </cell>
          <cell r="BM99">
            <v>200</v>
          </cell>
          <cell r="BN99">
            <v>0</v>
          </cell>
          <cell r="BO99">
            <v>0</v>
          </cell>
          <cell r="BP99">
            <v>1800</v>
          </cell>
          <cell r="BQ99">
            <v>0</v>
          </cell>
          <cell r="BR99">
            <v>1800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 t="str">
            <v>0</v>
          </cell>
          <cell r="BZ99" t="str">
            <v>0</v>
          </cell>
          <cell r="CA99" t="str">
            <v>0</v>
          </cell>
          <cell r="CB99" t="str">
            <v>0</v>
          </cell>
          <cell r="CC99" t="str">
            <v>0</v>
          </cell>
          <cell r="CD99" t="str">
            <v>0</v>
          </cell>
          <cell r="CE99" t="str">
            <v>0</v>
          </cell>
          <cell r="CF99" t="str">
            <v>0</v>
          </cell>
          <cell r="CG99" t="str">
            <v>0</v>
          </cell>
          <cell r="CH99" t="str">
            <v>0</v>
          </cell>
          <cell r="CI99" t="str">
            <v>0</v>
          </cell>
          <cell r="CJ99" t="str">
            <v>0</v>
          </cell>
          <cell r="CK99" t="str">
            <v>0</v>
          </cell>
          <cell r="CL99" t="str">
            <v>0</v>
          </cell>
          <cell r="CM99" t="str">
            <v>0</v>
          </cell>
          <cell r="CN99" t="str">
            <v>0</v>
          </cell>
          <cell r="CO99" t="str">
            <v>0</v>
          </cell>
          <cell r="CP99" t="str">
            <v>0</v>
          </cell>
          <cell r="CQ99" t="str">
            <v>0</v>
          </cell>
          <cell r="CR99" t="str">
            <v>0</v>
          </cell>
          <cell r="CS99" t="str">
            <v>0</v>
          </cell>
          <cell r="CT99" t="str">
            <v>0</v>
          </cell>
          <cell r="CU99" t="str">
            <v>0</v>
          </cell>
          <cell r="CV99" t="str">
            <v>0</v>
          </cell>
          <cell r="CW99" t="str">
            <v>0</v>
          </cell>
          <cell r="CX99" t="str">
            <v>0</v>
          </cell>
          <cell r="CY99">
            <v>2000</v>
          </cell>
          <cell r="CZ99">
            <v>22263</v>
          </cell>
          <cell r="DA99">
            <v>0</v>
          </cell>
          <cell r="DB99">
            <v>0</v>
          </cell>
          <cell r="DC99">
            <v>22263</v>
          </cell>
        </row>
        <row r="100">
          <cell r="A100" t="str">
            <v>FS491</v>
          </cell>
          <cell r="B100" t="str">
            <v>Ale Keerthi</v>
          </cell>
          <cell r="C100" t="str">
            <v>Quality Engineering</v>
          </cell>
          <cell r="D100" t="str">
            <v>01-10-2024</v>
          </cell>
          <cell r="E100" t="str">
            <v>N.A</v>
          </cell>
          <cell r="F100" t="str">
            <v>2025-10</v>
          </cell>
          <cell r="G100" t="str">
            <v>Success</v>
          </cell>
          <cell r="H100" t="str">
            <v>N.A</v>
          </cell>
          <cell r="I100" t="str">
            <v/>
          </cell>
          <cell r="J100" t="str">
            <v>30</v>
          </cell>
          <cell r="K100" t="str">
            <v>0</v>
          </cell>
          <cell r="L100" t="str">
            <v>0</v>
          </cell>
          <cell r="M100" t="str">
            <v>N.A</v>
          </cell>
          <cell r="N100" t="str">
            <v>0</v>
          </cell>
          <cell r="O100" t="str">
            <v>0</v>
          </cell>
          <cell r="P100" t="str">
            <v>30</v>
          </cell>
          <cell r="Q100" t="str">
            <v>30</v>
          </cell>
          <cell r="R100" t="str">
            <v>Associate software engineer</v>
          </cell>
          <cell r="S100" t="str">
            <v>Delivery-IN</v>
          </cell>
          <cell r="T100" t="str">
            <v>Hyderabad</v>
          </cell>
          <cell r="U100" t="str">
            <v xml:space="preserve">Telangana </v>
          </cell>
          <cell r="V100" t="str">
            <v>50100760130292</v>
          </cell>
          <cell r="W100" t="str">
            <v>HDFC BANK</v>
          </cell>
          <cell r="X100" t="str">
            <v>24263</v>
          </cell>
          <cell r="Y100" t="str">
            <v>DXDPA4935D</v>
          </cell>
          <cell r="Z100" t="str">
            <v>11667</v>
          </cell>
          <cell r="AA100">
            <v>11667</v>
          </cell>
          <cell r="AB100">
            <v>0</v>
          </cell>
          <cell r="AC100">
            <v>4667</v>
          </cell>
          <cell r="AD100">
            <v>4667</v>
          </cell>
          <cell r="AE100">
            <v>0</v>
          </cell>
          <cell r="AF100">
            <v>1283</v>
          </cell>
          <cell r="AG100">
            <v>1283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2917</v>
          </cell>
          <cell r="AM100">
            <v>2917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3729</v>
          </cell>
          <cell r="AS100">
            <v>3729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 t="str">
            <v>0</v>
          </cell>
          <cell r="BF100">
            <v>0</v>
          </cell>
          <cell r="BG100">
            <v>0</v>
          </cell>
          <cell r="BH100">
            <v>24263</v>
          </cell>
          <cell r="BI100">
            <v>24263</v>
          </cell>
          <cell r="BJ100">
            <v>0</v>
          </cell>
          <cell r="BK100">
            <v>0</v>
          </cell>
          <cell r="BL100">
            <v>0</v>
          </cell>
          <cell r="BM100">
            <v>200</v>
          </cell>
          <cell r="BN100">
            <v>0</v>
          </cell>
          <cell r="BO100">
            <v>0</v>
          </cell>
          <cell r="BP100">
            <v>1800</v>
          </cell>
          <cell r="BQ100">
            <v>0</v>
          </cell>
          <cell r="BR100">
            <v>1800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 t="str">
            <v>0</v>
          </cell>
          <cell r="BZ100" t="str">
            <v>0</v>
          </cell>
          <cell r="CA100" t="str">
            <v>0</v>
          </cell>
          <cell r="CB100" t="str">
            <v>0</v>
          </cell>
          <cell r="CC100" t="str">
            <v>0</v>
          </cell>
          <cell r="CD100" t="str">
            <v>0</v>
          </cell>
          <cell r="CE100" t="str">
            <v>0</v>
          </cell>
          <cell r="CF100" t="str">
            <v>0</v>
          </cell>
          <cell r="CG100" t="str">
            <v>0</v>
          </cell>
          <cell r="CH100" t="str">
            <v>0</v>
          </cell>
          <cell r="CI100" t="str">
            <v>0</v>
          </cell>
          <cell r="CJ100" t="str">
            <v>0</v>
          </cell>
          <cell r="CK100" t="str">
            <v>0</v>
          </cell>
          <cell r="CL100" t="str">
            <v>0</v>
          </cell>
          <cell r="CM100" t="str">
            <v>0</v>
          </cell>
          <cell r="CN100" t="str">
            <v>0</v>
          </cell>
          <cell r="CO100" t="str">
            <v>0</v>
          </cell>
          <cell r="CP100" t="str">
            <v>0</v>
          </cell>
          <cell r="CQ100" t="str">
            <v>0</v>
          </cell>
          <cell r="CR100" t="str">
            <v>0</v>
          </cell>
          <cell r="CS100" t="str">
            <v>0</v>
          </cell>
          <cell r="CT100" t="str">
            <v>0</v>
          </cell>
          <cell r="CU100" t="str">
            <v>0</v>
          </cell>
          <cell r="CV100" t="str">
            <v>0</v>
          </cell>
          <cell r="CW100" t="str">
            <v>0</v>
          </cell>
          <cell r="CX100" t="str">
            <v>0</v>
          </cell>
          <cell r="CY100">
            <v>2000</v>
          </cell>
          <cell r="CZ100">
            <v>22263</v>
          </cell>
          <cell r="DA100">
            <v>0</v>
          </cell>
          <cell r="DB100">
            <v>0</v>
          </cell>
          <cell r="DC100">
            <v>22263</v>
          </cell>
        </row>
        <row r="101">
          <cell r="A101" t="str">
            <v>FS492</v>
          </cell>
          <cell r="B101" t="str">
            <v>Jeela Mounika</v>
          </cell>
          <cell r="C101" t="str">
            <v>Quality Engineering</v>
          </cell>
          <cell r="D101" t="str">
            <v>01-10-2024</v>
          </cell>
          <cell r="E101" t="str">
            <v>N.A</v>
          </cell>
          <cell r="F101" t="str">
            <v>2025-10</v>
          </cell>
          <cell r="G101" t="str">
            <v>Success</v>
          </cell>
          <cell r="H101" t="str">
            <v>N.A</v>
          </cell>
          <cell r="I101" t="str">
            <v/>
          </cell>
          <cell r="J101" t="str">
            <v>30</v>
          </cell>
          <cell r="K101" t="str">
            <v>0</v>
          </cell>
          <cell r="L101" t="str">
            <v>0</v>
          </cell>
          <cell r="M101" t="str">
            <v>N.A</v>
          </cell>
          <cell r="N101" t="str">
            <v>0</v>
          </cell>
          <cell r="O101" t="str">
            <v>0</v>
          </cell>
          <cell r="P101" t="str">
            <v>30</v>
          </cell>
          <cell r="Q101" t="str">
            <v>30</v>
          </cell>
          <cell r="R101" t="str">
            <v>Associate software engineer</v>
          </cell>
          <cell r="S101" t="str">
            <v>Delivery-IN</v>
          </cell>
          <cell r="T101" t="str">
            <v>Hyderabad</v>
          </cell>
          <cell r="U101" t="str">
            <v xml:space="preserve">Telangana </v>
          </cell>
          <cell r="V101" t="str">
            <v>50100760130276</v>
          </cell>
          <cell r="W101" t="str">
            <v>HDFC BANK</v>
          </cell>
          <cell r="X101" t="str">
            <v>24263</v>
          </cell>
          <cell r="Y101" t="str">
            <v>IDTPM2806Q</v>
          </cell>
          <cell r="Z101" t="str">
            <v>11667</v>
          </cell>
          <cell r="AA101">
            <v>11667</v>
          </cell>
          <cell r="AB101">
            <v>0</v>
          </cell>
          <cell r="AC101">
            <v>4667</v>
          </cell>
          <cell r="AD101">
            <v>4667</v>
          </cell>
          <cell r="AE101">
            <v>0</v>
          </cell>
          <cell r="AF101">
            <v>1283</v>
          </cell>
          <cell r="AG101">
            <v>1283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2917</v>
          </cell>
          <cell r="AM101">
            <v>2917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3729</v>
          </cell>
          <cell r="AS101">
            <v>3729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 t="str">
            <v>0</v>
          </cell>
          <cell r="BF101">
            <v>0</v>
          </cell>
          <cell r="BG101">
            <v>0</v>
          </cell>
          <cell r="BH101">
            <v>24263</v>
          </cell>
          <cell r="BI101">
            <v>24263</v>
          </cell>
          <cell r="BJ101">
            <v>0</v>
          </cell>
          <cell r="BK101">
            <v>0</v>
          </cell>
          <cell r="BL101">
            <v>0</v>
          </cell>
          <cell r="BM101">
            <v>200</v>
          </cell>
          <cell r="BN101">
            <v>0</v>
          </cell>
          <cell r="BO101">
            <v>0</v>
          </cell>
          <cell r="BP101">
            <v>1800</v>
          </cell>
          <cell r="BQ101">
            <v>0</v>
          </cell>
          <cell r="BR101">
            <v>1800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str">
            <v>0</v>
          </cell>
          <cell r="BZ101" t="str">
            <v>0</v>
          </cell>
          <cell r="CA101" t="str">
            <v>0</v>
          </cell>
          <cell r="CB101" t="str">
            <v>0</v>
          </cell>
          <cell r="CC101" t="str">
            <v>0</v>
          </cell>
          <cell r="CD101" t="str">
            <v>0</v>
          </cell>
          <cell r="CE101" t="str">
            <v>0</v>
          </cell>
          <cell r="CF101" t="str">
            <v>0</v>
          </cell>
          <cell r="CG101" t="str">
            <v>0</v>
          </cell>
          <cell r="CH101" t="str">
            <v>0</v>
          </cell>
          <cell r="CI101" t="str">
            <v>0</v>
          </cell>
          <cell r="CJ101" t="str">
            <v>0</v>
          </cell>
          <cell r="CK101" t="str">
            <v>0</v>
          </cell>
          <cell r="CL101" t="str">
            <v>0</v>
          </cell>
          <cell r="CM101" t="str">
            <v>0</v>
          </cell>
          <cell r="CN101" t="str">
            <v>0</v>
          </cell>
          <cell r="CO101" t="str">
            <v>0</v>
          </cell>
          <cell r="CP101" t="str">
            <v>0</v>
          </cell>
          <cell r="CQ101" t="str">
            <v>0</v>
          </cell>
          <cell r="CR101" t="str">
            <v>0</v>
          </cell>
          <cell r="CS101" t="str">
            <v>0</v>
          </cell>
          <cell r="CT101" t="str">
            <v>0</v>
          </cell>
          <cell r="CU101" t="str">
            <v>0</v>
          </cell>
          <cell r="CV101" t="str">
            <v>0</v>
          </cell>
          <cell r="CW101" t="str">
            <v>0</v>
          </cell>
          <cell r="CX101" t="str">
            <v>0</v>
          </cell>
          <cell r="CY101">
            <v>2000</v>
          </cell>
          <cell r="CZ101">
            <v>22263</v>
          </cell>
          <cell r="DA101">
            <v>0</v>
          </cell>
          <cell r="DB101">
            <v>0</v>
          </cell>
          <cell r="DC101">
            <v>22263</v>
          </cell>
        </row>
        <row r="102">
          <cell r="A102" t="str">
            <v>FS493</v>
          </cell>
          <cell r="B102" t="str">
            <v>Subhrajita Parida</v>
          </cell>
          <cell r="C102" t="str">
            <v>Quality Engineering</v>
          </cell>
          <cell r="D102" t="str">
            <v>01-10-2024</v>
          </cell>
          <cell r="E102" t="str">
            <v>N.A</v>
          </cell>
          <cell r="F102" t="str">
            <v>2025-10</v>
          </cell>
          <cell r="G102" t="str">
            <v>Success</v>
          </cell>
          <cell r="H102" t="str">
            <v>N.A</v>
          </cell>
          <cell r="I102" t="str">
            <v/>
          </cell>
          <cell r="J102" t="str">
            <v>30</v>
          </cell>
          <cell r="K102" t="str">
            <v>0</v>
          </cell>
          <cell r="L102" t="str">
            <v>0</v>
          </cell>
          <cell r="M102" t="str">
            <v>N.A</v>
          </cell>
          <cell r="N102" t="str">
            <v>0</v>
          </cell>
          <cell r="O102" t="str">
            <v>0</v>
          </cell>
          <cell r="P102" t="str">
            <v>30</v>
          </cell>
          <cell r="Q102" t="str">
            <v>30</v>
          </cell>
          <cell r="R102" t="str">
            <v>Associate software engineer</v>
          </cell>
          <cell r="S102" t="str">
            <v>Delivery-IN</v>
          </cell>
          <cell r="T102" t="str">
            <v>Hyderabad</v>
          </cell>
          <cell r="U102" t="str">
            <v xml:space="preserve">Telangana </v>
          </cell>
          <cell r="V102" t="str">
            <v>50100760130300</v>
          </cell>
          <cell r="W102" t="str">
            <v>HDFC BANK</v>
          </cell>
          <cell r="X102" t="str">
            <v>24263</v>
          </cell>
          <cell r="Y102" t="str">
            <v>HADPP1551H</v>
          </cell>
          <cell r="Z102" t="str">
            <v>11667</v>
          </cell>
          <cell r="AA102">
            <v>11667</v>
          </cell>
          <cell r="AB102">
            <v>0</v>
          </cell>
          <cell r="AC102">
            <v>4667</v>
          </cell>
          <cell r="AD102">
            <v>4667</v>
          </cell>
          <cell r="AE102">
            <v>0</v>
          </cell>
          <cell r="AF102">
            <v>1283</v>
          </cell>
          <cell r="AG102">
            <v>1283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2917</v>
          </cell>
          <cell r="AM102">
            <v>2917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3729</v>
          </cell>
          <cell r="AS102">
            <v>3729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 t="str">
            <v>0</v>
          </cell>
          <cell r="BF102">
            <v>0</v>
          </cell>
          <cell r="BG102">
            <v>0</v>
          </cell>
          <cell r="BH102">
            <v>24263</v>
          </cell>
          <cell r="BI102">
            <v>24263</v>
          </cell>
          <cell r="BJ102">
            <v>0</v>
          </cell>
          <cell r="BK102">
            <v>0</v>
          </cell>
          <cell r="BL102">
            <v>0</v>
          </cell>
          <cell r="BM102">
            <v>200</v>
          </cell>
          <cell r="BN102">
            <v>0</v>
          </cell>
          <cell r="BO102">
            <v>0</v>
          </cell>
          <cell r="BP102">
            <v>1800</v>
          </cell>
          <cell r="BQ102">
            <v>0</v>
          </cell>
          <cell r="BR102">
            <v>1800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 t="str">
            <v>0</v>
          </cell>
          <cell r="BZ102" t="str">
            <v>0</v>
          </cell>
          <cell r="CA102" t="str">
            <v>0</v>
          </cell>
          <cell r="CB102" t="str">
            <v>0</v>
          </cell>
          <cell r="CC102" t="str">
            <v>0</v>
          </cell>
          <cell r="CD102" t="str">
            <v>0</v>
          </cell>
          <cell r="CE102" t="str">
            <v>0</v>
          </cell>
          <cell r="CF102" t="str">
            <v>0</v>
          </cell>
          <cell r="CG102" t="str">
            <v>0</v>
          </cell>
          <cell r="CH102" t="str">
            <v>0</v>
          </cell>
          <cell r="CI102" t="str">
            <v>0</v>
          </cell>
          <cell r="CJ102" t="str">
            <v>0</v>
          </cell>
          <cell r="CK102" t="str">
            <v>0</v>
          </cell>
          <cell r="CL102" t="str">
            <v>0</v>
          </cell>
          <cell r="CM102" t="str">
            <v>0</v>
          </cell>
          <cell r="CN102" t="str">
            <v>0</v>
          </cell>
          <cell r="CO102" t="str">
            <v>0</v>
          </cell>
          <cell r="CP102" t="str">
            <v>0</v>
          </cell>
          <cell r="CQ102" t="str">
            <v>0</v>
          </cell>
          <cell r="CR102" t="str">
            <v>0</v>
          </cell>
          <cell r="CS102" t="str">
            <v>0</v>
          </cell>
          <cell r="CT102" t="str">
            <v>0</v>
          </cell>
          <cell r="CU102" t="str">
            <v>0</v>
          </cell>
          <cell r="CV102" t="str">
            <v>0</v>
          </cell>
          <cell r="CW102" t="str">
            <v>0</v>
          </cell>
          <cell r="CX102" t="str">
            <v>0</v>
          </cell>
          <cell r="CY102">
            <v>2000</v>
          </cell>
          <cell r="CZ102">
            <v>22263</v>
          </cell>
          <cell r="DA102">
            <v>0</v>
          </cell>
          <cell r="DB102">
            <v>0</v>
          </cell>
          <cell r="DC102">
            <v>22263</v>
          </cell>
        </row>
        <row r="103">
          <cell r="A103" t="str">
            <v>FS494</v>
          </cell>
          <cell r="B103" t="str">
            <v>Goje Vaishali</v>
          </cell>
          <cell r="C103" t="str">
            <v>Quality Engineering</v>
          </cell>
          <cell r="D103" t="str">
            <v>01-10-2024</v>
          </cell>
          <cell r="E103" t="str">
            <v>N.A</v>
          </cell>
          <cell r="F103" t="str">
            <v>2025-10</v>
          </cell>
          <cell r="G103" t="str">
            <v>Success</v>
          </cell>
          <cell r="H103" t="str">
            <v>N.A</v>
          </cell>
          <cell r="I103" t="str">
            <v/>
          </cell>
          <cell r="J103" t="str">
            <v>30</v>
          </cell>
          <cell r="K103" t="str">
            <v>0</v>
          </cell>
          <cell r="L103" t="str">
            <v>0</v>
          </cell>
          <cell r="M103" t="str">
            <v>N.A</v>
          </cell>
          <cell r="N103" t="str">
            <v>0</v>
          </cell>
          <cell r="O103" t="str">
            <v>0</v>
          </cell>
          <cell r="P103" t="str">
            <v>30</v>
          </cell>
          <cell r="Q103" t="str">
            <v>30</v>
          </cell>
          <cell r="R103" t="str">
            <v>Associate software engineer</v>
          </cell>
          <cell r="S103" t="str">
            <v>Delivery-IN</v>
          </cell>
          <cell r="T103" t="str">
            <v>Hyderabad</v>
          </cell>
          <cell r="U103" t="str">
            <v xml:space="preserve">Telangana </v>
          </cell>
          <cell r="V103" t="str">
            <v>50100760130250</v>
          </cell>
          <cell r="W103" t="str">
            <v>HDFC BANK</v>
          </cell>
          <cell r="X103" t="str">
            <v>24263</v>
          </cell>
          <cell r="Y103" t="str">
            <v>BQKPV0146D</v>
          </cell>
          <cell r="Z103" t="str">
            <v>11667</v>
          </cell>
          <cell r="AA103">
            <v>11667</v>
          </cell>
          <cell r="AB103">
            <v>0</v>
          </cell>
          <cell r="AC103">
            <v>4667</v>
          </cell>
          <cell r="AD103">
            <v>4667</v>
          </cell>
          <cell r="AE103">
            <v>0</v>
          </cell>
          <cell r="AF103">
            <v>1283</v>
          </cell>
          <cell r="AG103">
            <v>1283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2917</v>
          </cell>
          <cell r="AM103">
            <v>2917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3729</v>
          </cell>
          <cell r="AS103">
            <v>3729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 t="str">
            <v>0</v>
          </cell>
          <cell r="BF103">
            <v>0</v>
          </cell>
          <cell r="BG103">
            <v>0</v>
          </cell>
          <cell r="BH103">
            <v>24263</v>
          </cell>
          <cell r="BI103">
            <v>24263</v>
          </cell>
          <cell r="BJ103">
            <v>0</v>
          </cell>
          <cell r="BK103">
            <v>0</v>
          </cell>
          <cell r="BL103">
            <v>0</v>
          </cell>
          <cell r="BM103">
            <v>200</v>
          </cell>
          <cell r="BN103">
            <v>0</v>
          </cell>
          <cell r="BO103">
            <v>0</v>
          </cell>
          <cell r="BP103">
            <v>1800</v>
          </cell>
          <cell r="BQ103">
            <v>0</v>
          </cell>
          <cell r="BR103">
            <v>1800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 t="str">
            <v>0</v>
          </cell>
          <cell r="BZ103" t="str">
            <v>0</v>
          </cell>
          <cell r="CA103" t="str">
            <v>0</v>
          </cell>
          <cell r="CB103" t="str">
            <v>0</v>
          </cell>
          <cell r="CC103" t="str">
            <v>0</v>
          </cell>
          <cell r="CD103" t="str">
            <v>0</v>
          </cell>
          <cell r="CE103" t="str">
            <v>0</v>
          </cell>
          <cell r="CF103" t="str">
            <v>0</v>
          </cell>
          <cell r="CG103" t="str">
            <v>0</v>
          </cell>
          <cell r="CH103" t="str">
            <v>0</v>
          </cell>
          <cell r="CI103" t="str">
            <v>0</v>
          </cell>
          <cell r="CJ103" t="str">
            <v>0</v>
          </cell>
          <cell r="CK103" t="str">
            <v>0</v>
          </cell>
          <cell r="CL103" t="str">
            <v>0</v>
          </cell>
          <cell r="CM103" t="str">
            <v>0</v>
          </cell>
          <cell r="CN103" t="str">
            <v>0</v>
          </cell>
          <cell r="CO103" t="str">
            <v>0</v>
          </cell>
          <cell r="CP103" t="str">
            <v>0</v>
          </cell>
          <cell r="CQ103" t="str">
            <v>0</v>
          </cell>
          <cell r="CR103" t="str">
            <v>0</v>
          </cell>
          <cell r="CS103" t="str">
            <v>0</v>
          </cell>
          <cell r="CT103" t="str">
            <v>0</v>
          </cell>
          <cell r="CU103" t="str">
            <v>0</v>
          </cell>
          <cell r="CV103" t="str">
            <v>0</v>
          </cell>
          <cell r="CW103" t="str">
            <v>0</v>
          </cell>
          <cell r="CX103" t="str">
            <v>0</v>
          </cell>
          <cell r="CY103">
            <v>2000</v>
          </cell>
          <cell r="CZ103">
            <v>22263</v>
          </cell>
          <cell r="DA103">
            <v>0</v>
          </cell>
          <cell r="DB103">
            <v>0</v>
          </cell>
          <cell r="DC103">
            <v>22263</v>
          </cell>
        </row>
        <row r="104">
          <cell r="A104" t="str">
            <v>FS495</v>
          </cell>
          <cell r="B104" t="str">
            <v>Katta Shivani</v>
          </cell>
          <cell r="C104" t="str">
            <v>Quality Engineering</v>
          </cell>
          <cell r="D104" t="str">
            <v>01-10-2024</v>
          </cell>
          <cell r="E104" t="str">
            <v>N.A</v>
          </cell>
          <cell r="F104" t="str">
            <v>2025-10</v>
          </cell>
          <cell r="G104" t="str">
            <v>Success</v>
          </cell>
          <cell r="H104" t="str">
            <v>N.A</v>
          </cell>
          <cell r="I104" t="str">
            <v/>
          </cell>
          <cell r="J104" t="str">
            <v>30</v>
          </cell>
          <cell r="K104" t="str">
            <v>0</v>
          </cell>
          <cell r="L104" t="str">
            <v>0</v>
          </cell>
          <cell r="M104" t="str">
            <v>N.A</v>
          </cell>
          <cell r="N104" t="str">
            <v>0</v>
          </cell>
          <cell r="O104" t="str">
            <v>0</v>
          </cell>
          <cell r="P104" t="str">
            <v>30</v>
          </cell>
          <cell r="Q104" t="str">
            <v>30</v>
          </cell>
          <cell r="R104" t="str">
            <v>Associate software engineer</v>
          </cell>
          <cell r="S104" t="str">
            <v>Delivery-IN</v>
          </cell>
          <cell r="T104" t="str">
            <v>Hyderabad</v>
          </cell>
          <cell r="U104" t="str">
            <v xml:space="preserve">Telangana </v>
          </cell>
          <cell r="V104" t="str">
            <v>50100760130263</v>
          </cell>
          <cell r="W104" t="str">
            <v>HDFC BANK</v>
          </cell>
          <cell r="X104" t="str">
            <v>24263</v>
          </cell>
          <cell r="Y104" t="str">
            <v>IRYPK6775H</v>
          </cell>
          <cell r="Z104" t="str">
            <v>11667</v>
          </cell>
          <cell r="AA104">
            <v>11667</v>
          </cell>
          <cell r="AB104">
            <v>0</v>
          </cell>
          <cell r="AC104">
            <v>4667</v>
          </cell>
          <cell r="AD104">
            <v>4667</v>
          </cell>
          <cell r="AE104">
            <v>0</v>
          </cell>
          <cell r="AF104">
            <v>1283</v>
          </cell>
          <cell r="AG104">
            <v>1283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2917</v>
          </cell>
          <cell r="AM104">
            <v>2917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3729</v>
          </cell>
          <cell r="AS104">
            <v>3729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 t="str">
            <v>0</v>
          </cell>
          <cell r="BF104">
            <v>0</v>
          </cell>
          <cell r="BG104">
            <v>0</v>
          </cell>
          <cell r="BH104">
            <v>24263</v>
          </cell>
          <cell r="BI104">
            <v>24263</v>
          </cell>
          <cell r="BJ104">
            <v>0</v>
          </cell>
          <cell r="BK104">
            <v>0</v>
          </cell>
          <cell r="BL104">
            <v>0</v>
          </cell>
          <cell r="BM104">
            <v>200</v>
          </cell>
          <cell r="BN104">
            <v>0</v>
          </cell>
          <cell r="BO104">
            <v>0</v>
          </cell>
          <cell r="BP104">
            <v>1800</v>
          </cell>
          <cell r="BQ104">
            <v>0</v>
          </cell>
          <cell r="BR104">
            <v>1800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str">
            <v>0</v>
          </cell>
          <cell r="BZ104" t="str">
            <v>0</v>
          </cell>
          <cell r="CA104" t="str">
            <v>0</v>
          </cell>
          <cell r="CB104" t="str">
            <v>0</v>
          </cell>
          <cell r="CC104" t="str">
            <v>0</v>
          </cell>
          <cell r="CD104" t="str">
            <v>0</v>
          </cell>
          <cell r="CE104" t="str">
            <v>0</v>
          </cell>
          <cell r="CF104" t="str">
            <v>0</v>
          </cell>
          <cell r="CG104" t="str">
            <v>0</v>
          </cell>
          <cell r="CH104" t="str">
            <v>0</v>
          </cell>
          <cell r="CI104" t="str">
            <v>0</v>
          </cell>
          <cell r="CJ104" t="str">
            <v>0</v>
          </cell>
          <cell r="CK104" t="str">
            <v>0</v>
          </cell>
          <cell r="CL104" t="str">
            <v>0</v>
          </cell>
          <cell r="CM104" t="str">
            <v>0</v>
          </cell>
          <cell r="CN104" t="str">
            <v>0</v>
          </cell>
          <cell r="CO104" t="str">
            <v>0</v>
          </cell>
          <cell r="CP104" t="str">
            <v>0</v>
          </cell>
          <cell r="CQ104" t="str">
            <v>0</v>
          </cell>
          <cell r="CR104" t="str">
            <v>0</v>
          </cell>
          <cell r="CS104" t="str">
            <v>0</v>
          </cell>
          <cell r="CT104" t="str">
            <v>0</v>
          </cell>
          <cell r="CU104" t="str">
            <v>0</v>
          </cell>
          <cell r="CV104" t="str">
            <v>0</v>
          </cell>
          <cell r="CW104" t="str">
            <v>0</v>
          </cell>
          <cell r="CX104" t="str">
            <v>0</v>
          </cell>
          <cell r="CY104">
            <v>2000</v>
          </cell>
          <cell r="CZ104">
            <v>22263</v>
          </cell>
          <cell r="DA104">
            <v>0</v>
          </cell>
          <cell r="DB104">
            <v>0</v>
          </cell>
          <cell r="DC104">
            <v>22263</v>
          </cell>
        </row>
        <row r="105">
          <cell r="A105" t="str">
            <v>FS497</v>
          </cell>
          <cell r="B105" t="str">
            <v>Omkaram Chiranjeevulu</v>
          </cell>
          <cell r="C105" t="str">
            <v>Product Engineering</v>
          </cell>
          <cell r="D105" t="str">
            <v>31-10-2024</v>
          </cell>
          <cell r="E105" t="str">
            <v>N.A</v>
          </cell>
          <cell r="F105" t="str">
            <v>2025-10</v>
          </cell>
          <cell r="G105" t="str">
            <v>Success</v>
          </cell>
          <cell r="H105" t="str">
            <v>N.A</v>
          </cell>
          <cell r="I105" t="str">
            <v/>
          </cell>
          <cell r="J105" t="str">
            <v>30</v>
          </cell>
          <cell r="K105" t="str">
            <v>0</v>
          </cell>
          <cell r="L105" t="str">
            <v>0</v>
          </cell>
          <cell r="M105" t="str">
            <v>N.A</v>
          </cell>
          <cell r="N105" t="str">
            <v>0</v>
          </cell>
          <cell r="O105" t="str">
            <v>0</v>
          </cell>
          <cell r="P105" t="str">
            <v>30</v>
          </cell>
          <cell r="Q105" t="str">
            <v>30</v>
          </cell>
          <cell r="R105" t="str">
            <v>Senior Software Engineer -Angular</v>
          </cell>
          <cell r="S105" t="str">
            <v>Delivery-IN</v>
          </cell>
          <cell r="T105" t="str">
            <v>Hyderabad</v>
          </cell>
          <cell r="U105" t="str">
            <v xml:space="preserve">Telangana </v>
          </cell>
          <cell r="V105" t="str">
            <v>50100536713492</v>
          </cell>
          <cell r="W105" t="str">
            <v>HDFC BANK</v>
          </cell>
          <cell r="X105" t="str">
            <v>144867</v>
          </cell>
          <cell r="Y105" t="str">
            <v>ADBPO9608A</v>
          </cell>
          <cell r="Z105" t="str">
            <v>58667</v>
          </cell>
          <cell r="AA105">
            <v>58667</v>
          </cell>
          <cell r="AB105">
            <v>0</v>
          </cell>
          <cell r="AC105">
            <v>23467</v>
          </cell>
          <cell r="AD105">
            <v>23467</v>
          </cell>
          <cell r="AE105">
            <v>0</v>
          </cell>
          <cell r="AF105">
            <v>6453</v>
          </cell>
          <cell r="AG105">
            <v>6453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10000</v>
          </cell>
          <cell r="AM105">
            <v>10000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46280</v>
          </cell>
          <cell r="AS105">
            <v>46280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 t="str">
            <v>0</v>
          </cell>
          <cell r="BF105">
            <v>0</v>
          </cell>
          <cell r="BG105">
            <v>0</v>
          </cell>
          <cell r="BH105">
            <v>144867</v>
          </cell>
          <cell r="BI105">
            <v>144867</v>
          </cell>
          <cell r="BJ105">
            <v>0</v>
          </cell>
          <cell r="BK105">
            <v>0</v>
          </cell>
          <cell r="BL105">
            <v>11499</v>
          </cell>
          <cell r="BM105">
            <v>200</v>
          </cell>
          <cell r="BN105">
            <v>0</v>
          </cell>
          <cell r="BO105">
            <v>0</v>
          </cell>
          <cell r="BP105">
            <v>1800</v>
          </cell>
          <cell r="BQ105">
            <v>0</v>
          </cell>
          <cell r="BR105">
            <v>1800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str">
            <v>0</v>
          </cell>
          <cell r="BZ105" t="str">
            <v>0</v>
          </cell>
          <cell r="CA105" t="str">
            <v>0</v>
          </cell>
          <cell r="CB105" t="str">
            <v>0</v>
          </cell>
          <cell r="CC105" t="str">
            <v>0</v>
          </cell>
          <cell r="CD105" t="str">
            <v>0</v>
          </cell>
          <cell r="CE105" t="str">
            <v>0</v>
          </cell>
          <cell r="CF105" t="str">
            <v>0</v>
          </cell>
          <cell r="CG105" t="str">
            <v>0</v>
          </cell>
          <cell r="CH105" t="str">
            <v>0</v>
          </cell>
          <cell r="CI105" t="str">
            <v>0</v>
          </cell>
          <cell r="CJ105" t="str">
            <v>0</v>
          </cell>
          <cell r="CK105" t="str">
            <v>0</v>
          </cell>
          <cell r="CL105" t="str">
            <v>0</v>
          </cell>
          <cell r="CM105" t="str">
            <v>0</v>
          </cell>
          <cell r="CN105" t="str">
            <v>0</v>
          </cell>
          <cell r="CO105" t="str">
            <v>0</v>
          </cell>
          <cell r="CP105" t="str">
            <v>0</v>
          </cell>
          <cell r="CQ105" t="str">
            <v>0</v>
          </cell>
          <cell r="CR105" t="str">
            <v>0</v>
          </cell>
          <cell r="CS105" t="str">
            <v>0</v>
          </cell>
          <cell r="CT105" t="str">
            <v>0</v>
          </cell>
          <cell r="CU105" t="str">
            <v>0</v>
          </cell>
          <cell r="CV105" t="str">
            <v>0</v>
          </cell>
          <cell r="CW105" t="str">
            <v>0</v>
          </cell>
          <cell r="CX105" t="str">
            <v>0</v>
          </cell>
          <cell r="CY105">
            <v>13499</v>
          </cell>
          <cell r="CZ105">
            <v>131368</v>
          </cell>
          <cell r="DA105">
            <v>0</v>
          </cell>
          <cell r="DB105">
            <v>0</v>
          </cell>
          <cell r="DC105">
            <v>131368</v>
          </cell>
        </row>
        <row r="106">
          <cell r="A106" t="str">
            <v>FS498</v>
          </cell>
          <cell r="B106" t="str">
            <v>A Pragnasri</v>
          </cell>
          <cell r="C106" t="str">
            <v>Admin</v>
          </cell>
          <cell r="D106" t="str">
            <v>25-11-2024</v>
          </cell>
          <cell r="E106" t="str">
            <v>N.A</v>
          </cell>
          <cell r="F106" t="str">
            <v>2025-10</v>
          </cell>
          <cell r="G106" t="str">
            <v>Success</v>
          </cell>
          <cell r="H106" t="str">
            <v>N.A</v>
          </cell>
          <cell r="I106" t="str">
            <v/>
          </cell>
          <cell r="J106" t="str">
            <v>30</v>
          </cell>
          <cell r="K106" t="str">
            <v>0</v>
          </cell>
          <cell r="L106" t="str">
            <v>0</v>
          </cell>
          <cell r="M106" t="str">
            <v>N.A</v>
          </cell>
          <cell r="N106" t="str">
            <v>0</v>
          </cell>
          <cell r="O106" t="str">
            <v>0</v>
          </cell>
          <cell r="P106" t="str">
            <v>30</v>
          </cell>
          <cell r="Q106" t="str">
            <v>30</v>
          </cell>
          <cell r="R106" t="str">
            <v>Corporate Experience and Operations Manager</v>
          </cell>
          <cell r="S106" t="str">
            <v>Office Operation-IN</v>
          </cell>
          <cell r="T106" t="str">
            <v>Hyderabad</v>
          </cell>
          <cell r="U106" t="str">
            <v xml:space="preserve">Telangana </v>
          </cell>
          <cell r="V106" t="str">
            <v>50100765174814</v>
          </cell>
          <cell r="W106" t="str">
            <v>HDFC BANK</v>
          </cell>
          <cell r="X106" t="str">
            <v>62937</v>
          </cell>
          <cell r="Y106" t="str">
            <v>CFLPP0486H</v>
          </cell>
          <cell r="Z106" t="str">
            <v>25895</v>
          </cell>
          <cell r="AA106">
            <v>25895</v>
          </cell>
          <cell r="AB106">
            <v>0</v>
          </cell>
          <cell r="AC106">
            <v>10358</v>
          </cell>
          <cell r="AD106">
            <v>10358</v>
          </cell>
          <cell r="AE106">
            <v>0</v>
          </cell>
          <cell r="AF106">
            <v>2848</v>
          </cell>
          <cell r="AG106">
            <v>2848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6474</v>
          </cell>
          <cell r="AM106">
            <v>6474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17362</v>
          </cell>
          <cell r="AS106">
            <v>17362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 t="str">
            <v>0</v>
          </cell>
          <cell r="BF106">
            <v>0</v>
          </cell>
          <cell r="BG106">
            <v>0</v>
          </cell>
          <cell r="BH106">
            <v>62937</v>
          </cell>
          <cell r="BI106">
            <v>62937</v>
          </cell>
          <cell r="BJ106">
            <v>0</v>
          </cell>
          <cell r="BK106">
            <v>0</v>
          </cell>
          <cell r="BL106">
            <v>0</v>
          </cell>
          <cell r="BM106">
            <v>200</v>
          </cell>
          <cell r="BN106">
            <v>0</v>
          </cell>
          <cell r="BO106">
            <v>0</v>
          </cell>
          <cell r="BP106">
            <v>1800</v>
          </cell>
          <cell r="BQ106">
            <v>0</v>
          </cell>
          <cell r="BR106">
            <v>1800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 t="str">
            <v>0</v>
          </cell>
          <cell r="BZ106" t="str">
            <v>0</v>
          </cell>
          <cell r="CA106" t="str">
            <v>0</v>
          </cell>
          <cell r="CB106" t="str">
            <v>0</v>
          </cell>
          <cell r="CC106" t="str">
            <v>0</v>
          </cell>
          <cell r="CD106" t="str">
            <v>0</v>
          </cell>
          <cell r="CE106" t="str">
            <v>0</v>
          </cell>
          <cell r="CF106" t="str">
            <v>0</v>
          </cell>
          <cell r="CG106" t="str">
            <v>0</v>
          </cell>
          <cell r="CH106" t="str">
            <v>0</v>
          </cell>
          <cell r="CI106" t="str">
            <v>0</v>
          </cell>
          <cell r="CJ106" t="str">
            <v>0</v>
          </cell>
          <cell r="CK106" t="str">
            <v>0</v>
          </cell>
          <cell r="CL106" t="str">
            <v>0</v>
          </cell>
          <cell r="CM106" t="str">
            <v>0</v>
          </cell>
          <cell r="CN106" t="str">
            <v>0</v>
          </cell>
          <cell r="CO106" t="str">
            <v>0</v>
          </cell>
          <cell r="CP106" t="str">
            <v>0</v>
          </cell>
          <cell r="CQ106" t="str">
            <v>0</v>
          </cell>
          <cell r="CR106" t="str">
            <v>0</v>
          </cell>
          <cell r="CS106" t="str">
            <v>0</v>
          </cell>
          <cell r="CT106" t="str">
            <v>0</v>
          </cell>
          <cell r="CU106" t="str">
            <v>0</v>
          </cell>
          <cell r="CV106" t="str">
            <v>0</v>
          </cell>
          <cell r="CW106" t="str">
            <v>0</v>
          </cell>
          <cell r="CX106" t="str">
            <v>0</v>
          </cell>
          <cell r="CY106">
            <v>2000</v>
          </cell>
          <cell r="CZ106">
            <v>60937</v>
          </cell>
          <cell r="DA106">
            <v>0</v>
          </cell>
          <cell r="DB106">
            <v>0</v>
          </cell>
          <cell r="DC106">
            <v>60937</v>
          </cell>
        </row>
        <row r="107">
          <cell r="A107" t="str">
            <v>FS499</v>
          </cell>
          <cell r="B107" t="str">
            <v>Menni Manish</v>
          </cell>
          <cell r="C107" t="str">
            <v>Quality Engineering</v>
          </cell>
          <cell r="D107" t="str">
            <v>27-11-2024</v>
          </cell>
          <cell r="E107" t="str">
            <v>N.A</v>
          </cell>
          <cell r="F107" t="str">
            <v>2025-10</v>
          </cell>
          <cell r="G107" t="str">
            <v>Success</v>
          </cell>
          <cell r="H107" t="str">
            <v>N.A</v>
          </cell>
          <cell r="I107" t="str">
            <v/>
          </cell>
          <cell r="J107" t="str">
            <v>30</v>
          </cell>
          <cell r="K107" t="str">
            <v>0</v>
          </cell>
          <cell r="L107" t="str">
            <v>0</v>
          </cell>
          <cell r="M107" t="str">
            <v>N.A</v>
          </cell>
          <cell r="N107" t="str">
            <v>0</v>
          </cell>
          <cell r="O107" t="str">
            <v>0</v>
          </cell>
          <cell r="P107" t="str">
            <v>30</v>
          </cell>
          <cell r="Q107" t="str">
            <v>30</v>
          </cell>
          <cell r="R107" t="str">
            <v>QA- Automation lead</v>
          </cell>
          <cell r="S107" t="str">
            <v>Delivery-IN</v>
          </cell>
          <cell r="T107" t="str">
            <v>Hyderabad</v>
          </cell>
          <cell r="U107" t="str">
            <v xml:space="preserve">Telangana </v>
          </cell>
          <cell r="V107" t="str">
            <v>40593323288</v>
          </cell>
          <cell r="W107" t="str">
            <v>STATE BANK OF INDIA</v>
          </cell>
          <cell r="X107" t="str">
            <v>167200</v>
          </cell>
          <cell r="Y107" t="str">
            <v>DEKPM4471Q</v>
          </cell>
          <cell r="Z107" t="str">
            <v>67600</v>
          </cell>
          <cell r="AA107">
            <v>67600</v>
          </cell>
          <cell r="AB107">
            <v>0</v>
          </cell>
          <cell r="AC107">
            <v>27040</v>
          </cell>
          <cell r="AD107">
            <v>27040</v>
          </cell>
          <cell r="AE107">
            <v>0</v>
          </cell>
          <cell r="AF107">
            <v>7436</v>
          </cell>
          <cell r="AG107">
            <v>7436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10000</v>
          </cell>
          <cell r="AM107">
            <v>10000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55124</v>
          </cell>
          <cell r="AS107">
            <v>55124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 t="str">
            <v>0</v>
          </cell>
          <cell r="BF107">
            <v>0</v>
          </cell>
          <cell r="BG107">
            <v>0</v>
          </cell>
          <cell r="BH107">
            <v>167200</v>
          </cell>
          <cell r="BI107">
            <v>167200</v>
          </cell>
          <cell r="BJ107">
            <v>0</v>
          </cell>
          <cell r="BK107">
            <v>0</v>
          </cell>
          <cell r="BL107">
            <v>16113</v>
          </cell>
          <cell r="BM107">
            <v>200</v>
          </cell>
          <cell r="BN107">
            <v>0</v>
          </cell>
          <cell r="BO107">
            <v>0</v>
          </cell>
          <cell r="BP107">
            <v>1800</v>
          </cell>
          <cell r="BQ107">
            <v>0</v>
          </cell>
          <cell r="BR107">
            <v>1800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 t="str">
            <v>0</v>
          </cell>
          <cell r="BZ107" t="str">
            <v>0</v>
          </cell>
          <cell r="CA107" t="str">
            <v>0</v>
          </cell>
          <cell r="CB107" t="str">
            <v>0</v>
          </cell>
          <cell r="CC107" t="str">
            <v>0</v>
          </cell>
          <cell r="CD107" t="str">
            <v>0</v>
          </cell>
          <cell r="CE107" t="str">
            <v>0</v>
          </cell>
          <cell r="CF107" t="str">
            <v>0</v>
          </cell>
          <cell r="CG107" t="str">
            <v>0</v>
          </cell>
          <cell r="CH107" t="str">
            <v>0</v>
          </cell>
          <cell r="CI107" t="str">
            <v>0</v>
          </cell>
          <cell r="CJ107" t="str">
            <v>0</v>
          </cell>
          <cell r="CK107" t="str">
            <v>0</v>
          </cell>
          <cell r="CL107" t="str">
            <v>0</v>
          </cell>
          <cell r="CM107" t="str">
            <v>0</v>
          </cell>
          <cell r="CN107" t="str">
            <v>0</v>
          </cell>
          <cell r="CO107" t="str">
            <v>0</v>
          </cell>
          <cell r="CP107" t="str">
            <v>0</v>
          </cell>
          <cell r="CQ107" t="str">
            <v>0</v>
          </cell>
          <cell r="CR107" t="str">
            <v>0</v>
          </cell>
          <cell r="CS107" t="str">
            <v>0</v>
          </cell>
          <cell r="CT107" t="str">
            <v>0</v>
          </cell>
          <cell r="CU107" t="str">
            <v>0</v>
          </cell>
          <cell r="CV107" t="str">
            <v>0</v>
          </cell>
          <cell r="CW107" t="str">
            <v>0</v>
          </cell>
          <cell r="CX107" t="str">
            <v>0</v>
          </cell>
          <cell r="CY107">
            <v>18113</v>
          </cell>
          <cell r="CZ107">
            <v>149087</v>
          </cell>
          <cell r="DA107">
            <v>0</v>
          </cell>
          <cell r="DB107">
            <v>0</v>
          </cell>
          <cell r="DC107">
            <v>149087</v>
          </cell>
        </row>
        <row r="108">
          <cell r="A108" t="str">
            <v>FS500</v>
          </cell>
          <cell r="B108" t="str">
            <v>Madamanchi Deepa</v>
          </cell>
          <cell r="C108" t="str">
            <v>Product Engineering</v>
          </cell>
          <cell r="D108" t="str">
            <v>28-11-2024</v>
          </cell>
          <cell r="E108" t="str">
            <v>N.A</v>
          </cell>
          <cell r="F108" t="str">
            <v>2025-10</v>
          </cell>
          <cell r="G108" t="str">
            <v>Success</v>
          </cell>
          <cell r="H108" t="str">
            <v>N.A</v>
          </cell>
          <cell r="I108" t="str">
            <v/>
          </cell>
          <cell r="J108" t="str">
            <v>30</v>
          </cell>
          <cell r="K108" t="str">
            <v>0</v>
          </cell>
          <cell r="L108" t="str">
            <v>0</v>
          </cell>
          <cell r="M108" t="str">
            <v>N.A</v>
          </cell>
          <cell r="N108" t="str">
            <v>0</v>
          </cell>
          <cell r="O108" t="str">
            <v>0</v>
          </cell>
          <cell r="P108" t="str">
            <v>30</v>
          </cell>
          <cell r="Q108" t="str">
            <v>30</v>
          </cell>
          <cell r="R108" t="str">
            <v>QA Lead - Functional Testing</v>
          </cell>
          <cell r="S108" t="str">
            <v>Delivery-IN</v>
          </cell>
          <cell r="T108" t="str">
            <v>Hyderabad</v>
          </cell>
          <cell r="U108" t="str">
            <v xml:space="preserve">Telangana </v>
          </cell>
          <cell r="V108" t="str">
            <v>50100117434666</v>
          </cell>
          <cell r="W108" t="str">
            <v>HDFC BANK</v>
          </cell>
          <cell r="X108" t="str">
            <v>156533</v>
          </cell>
          <cell r="Y108" t="str">
            <v>CENPD7242A</v>
          </cell>
          <cell r="Z108" t="str">
            <v>63333</v>
          </cell>
          <cell r="AA108">
            <v>63333</v>
          </cell>
          <cell r="AB108">
            <v>0</v>
          </cell>
          <cell r="AC108">
            <v>25333</v>
          </cell>
          <cell r="AD108">
            <v>25333</v>
          </cell>
          <cell r="AE108">
            <v>0</v>
          </cell>
          <cell r="AF108">
            <v>6967</v>
          </cell>
          <cell r="AG108">
            <v>6967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10000</v>
          </cell>
          <cell r="AM108">
            <v>10000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50900</v>
          </cell>
          <cell r="AS108">
            <v>50900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 t="str">
            <v>0</v>
          </cell>
          <cell r="BF108">
            <v>0</v>
          </cell>
          <cell r="BG108">
            <v>0</v>
          </cell>
          <cell r="BH108">
            <v>156533</v>
          </cell>
          <cell r="BI108">
            <v>156533</v>
          </cell>
          <cell r="BJ108">
            <v>0</v>
          </cell>
          <cell r="BK108">
            <v>0</v>
          </cell>
          <cell r="BL108">
            <v>4094</v>
          </cell>
          <cell r="BM108">
            <v>200</v>
          </cell>
          <cell r="BN108">
            <v>0</v>
          </cell>
          <cell r="BO108">
            <v>0</v>
          </cell>
          <cell r="BP108">
            <v>1800</v>
          </cell>
          <cell r="BQ108">
            <v>0</v>
          </cell>
          <cell r="BR108">
            <v>1800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 t="str">
            <v>0</v>
          </cell>
          <cell r="BZ108" t="str">
            <v>0</v>
          </cell>
          <cell r="CA108" t="str">
            <v>0</v>
          </cell>
          <cell r="CB108" t="str">
            <v>0</v>
          </cell>
          <cell r="CC108" t="str">
            <v>0</v>
          </cell>
          <cell r="CD108" t="str">
            <v>0</v>
          </cell>
          <cell r="CE108" t="str">
            <v>0</v>
          </cell>
          <cell r="CF108" t="str">
            <v>0</v>
          </cell>
          <cell r="CG108" t="str">
            <v>0</v>
          </cell>
          <cell r="CH108" t="str">
            <v>0</v>
          </cell>
          <cell r="CI108" t="str">
            <v>0</v>
          </cell>
          <cell r="CJ108" t="str">
            <v>0</v>
          </cell>
          <cell r="CK108" t="str">
            <v>0</v>
          </cell>
          <cell r="CL108" t="str">
            <v>0</v>
          </cell>
          <cell r="CM108" t="str">
            <v>0</v>
          </cell>
          <cell r="CN108" t="str">
            <v>0</v>
          </cell>
          <cell r="CO108" t="str">
            <v>0</v>
          </cell>
          <cell r="CP108" t="str">
            <v>0</v>
          </cell>
          <cell r="CQ108" t="str">
            <v>0</v>
          </cell>
          <cell r="CR108" t="str">
            <v>0</v>
          </cell>
          <cell r="CS108" t="str">
            <v>0</v>
          </cell>
          <cell r="CT108" t="str">
            <v>0</v>
          </cell>
          <cell r="CU108" t="str">
            <v>0</v>
          </cell>
          <cell r="CV108" t="str">
            <v>0</v>
          </cell>
          <cell r="CW108" t="str">
            <v>0</v>
          </cell>
          <cell r="CX108" t="str">
            <v>0</v>
          </cell>
          <cell r="CY108">
            <v>6094</v>
          </cell>
          <cell r="CZ108">
            <v>150439</v>
          </cell>
          <cell r="DA108">
            <v>0</v>
          </cell>
          <cell r="DB108">
            <v>0</v>
          </cell>
          <cell r="DC108">
            <v>150439</v>
          </cell>
        </row>
        <row r="109">
          <cell r="A109" t="str">
            <v>FS502</v>
          </cell>
          <cell r="B109" t="str">
            <v>Maila Savitha</v>
          </cell>
          <cell r="C109" t="str">
            <v>Product Engineering</v>
          </cell>
          <cell r="D109" t="str">
            <v>23-12-2024</v>
          </cell>
          <cell r="E109" t="str">
            <v>N.A</v>
          </cell>
          <cell r="F109" t="str">
            <v>2025-10</v>
          </cell>
          <cell r="G109" t="str">
            <v>Success</v>
          </cell>
          <cell r="H109" t="str">
            <v>N.A</v>
          </cell>
          <cell r="I109" t="str">
            <v/>
          </cell>
          <cell r="J109" t="str">
            <v>30</v>
          </cell>
          <cell r="K109" t="str">
            <v>0</v>
          </cell>
          <cell r="L109" t="str">
            <v>0</v>
          </cell>
          <cell r="M109" t="str">
            <v>N.A</v>
          </cell>
          <cell r="N109" t="str">
            <v>0</v>
          </cell>
          <cell r="O109" t="str">
            <v>0</v>
          </cell>
          <cell r="P109" t="str">
            <v>30</v>
          </cell>
          <cell r="Q109" t="str">
            <v>30</v>
          </cell>
          <cell r="R109" t="str">
            <v>Senior Software Engineer -Angular</v>
          </cell>
          <cell r="S109" t="str">
            <v>Delivery-IN</v>
          </cell>
          <cell r="T109" t="str">
            <v>Hyderabad</v>
          </cell>
          <cell r="U109" t="str">
            <v xml:space="preserve">Telangana </v>
          </cell>
          <cell r="V109" t="str">
            <v>41353282759</v>
          </cell>
          <cell r="W109" t="str">
            <v>STATE BANK OF INDIA</v>
          </cell>
          <cell r="X109" t="str">
            <v>159492</v>
          </cell>
          <cell r="Y109" t="str">
            <v>CMWPM1908F</v>
          </cell>
          <cell r="Z109" t="str">
            <v>64517</v>
          </cell>
          <cell r="AA109">
            <v>64517</v>
          </cell>
          <cell r="AB109">
            <v>0</v>
          </cell>
          <cell r="AC109">
            <v>25807</v>
          </cell>
          <cell r="AD109">
            <v>25807</v>
          </cell>
          <cell r="AE109">
            <v>0</v>
          </cell>
          <cell r="AF109">
            <v>7097</v>
          </cell>
          <cell r="AG109">
            <v>7097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10000</v>
          </cell>
          <cell r="AM109">
            <v>10000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52071</v>
          </cell>
          <cell r="AS109">
            <v>52071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 t="str">
            <v>0</v>
          </cell>
          <cell r="BF109">
            <v>0</v>
          </cell>
          <cell r="BG109">
            <v>0</v>
          </cell>
          <cell r="BH109">
            <v>159492</v>
          </cell>
          <cell r="BI109">
            <v>159492</v>
          </cell>
          <cell r="BJ109">
            <v>0</v>
          </cell>
          <cell r="BK109">
            <v>0</v>
          </cell>
          <cell r="BL109">
            <v>16275</v>
          </cell>
          <cell r="BM109">
            <v>200</v>
          </cell>
          <cell r="BN109">
            <v>0</v>
          </cell>
          <cell r="BO109">
            <v>0</v>
          </cell>
          <cell r="BP109">
            <v>1800</v>
          </cell>
          <cell r="BQ109">
            <v>0</v>
          </cell>
          <cell r="BR109">
            <v>1800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 t="str">
            <v>0</v>
          </cell>
          <cell r="BZ109" t="str">
            <v>0</v>
          </cell>
          <cell r="CA109" t="str">
            <v>0</v>
          </cell>
          <cell r="CB109" t="str">
            <v>0</v>
          </cell>
          <cell r="CC109" t="str">
            <v>0</v>
          </cell>
          <cell r="CD109" t="str">
            <v>0</v>
          </cell>
          <cell r="CE109" t="str">
            <v>0</v>
          </cell>
          <cell r="CF109" t="str">
            <v>0</v>
          </cell>
          <cell r="CG109" t="str">
            <v>0</v>
          </cell>
          <cell r="CH109" t="str">
            <v>0</v>
          </cell>
          <cell r="CI109" t="str">
            <v>0</v>
          </cell>
          <cell r="CJ109" t="str">
            <v>0</v>
          </cell>
          <cell r="CK109" t="str">
            <v>0</v>
          </cell>
          <cell r="CL109" t="str">
            <v>0</v>
          </cell>
          <cell r="CM109" t="str">
            <v>0</v>
          </cell>
          <cell r="CN109" t="str">
            <v>0</v>
          </cell>
          <cell r="CO109" t="str">
            <v>0</v>
          </cell>
          <cell r="CP109" t="str">
            <v>0</v>
          </cell>
          <cell r="CQ109" t="str">
            <v>0</v>
          </cell>
          <cell r="CR109" t="str">
            <v>0</v>
          </cell>
          <cell r="CS109" t="str">
            <v>0</v>
          </cell>
          <cell r="CT109" t="str">
            <v>0</v>
          </cell>
          <cell r="CU109" t="str">
            <v>0</v>
          </cell>
          <cell r="CV109" t="str">
            <v>0</v>
          </cell>
          <cell r="CW109" t="str">
            <v>0</v>
          </cell>
          <cell r="CX109" t="str">
            <v>0</v>
          </cell>
          <cell r="CY109">
            <v>18275</v>
          </cell>
          <cell r="CZ109">
            <v>141217</v>
          </cell>
          <cell r="DA109">
            <v>0</v>
          </cell>
          <cell r="DB109">
            <v>0</v>
          </cell>
          <cell r="DC109">
            <v>141217</v>
          </cell>
        </row>
        <row r="110">
          <cell r="A110" t="str">
            <v>FS503</v>
          </cell>
          <cell r="B110" t="str">
            <v>Munigadapa Dinesh</v>
          </cell>
          <cell r="C110" t="str">
            <v>Quality Engineering</v>
          </cell>
          <cell r="D110" t="str">
            <v>31-12-2024</v>
          </cell>
          <cell r="E110" t="str">
            <v>N.A</v>
          </cell>
          <cell r="F110" t="str">
            <v>2025-10</v>
          </cell>
          <cell r="G110" t="str">
            <v>Success</v>
          </cell>
          <cell r="H110" t="str">
            <v>N.A</v>
          </cell>
          <cell r="I110" t="str">
            <v/>
          </cell>
          <cell r="J110" t="str">
            <v>30</v>
          </cell>
          <cell r="K110" t="str">
            <v>0</v>
          </cell>
          <cell r="L110" t="str">
            <v>0</v>
          </cell>
          <cell r="M110" t="str">
            <v>N.A</v>
          </cell>
          <cell r="N110" t="str">
            <v>0</v>
          </cell>
          <cell r="O110" t="str">
            <v>0</v>
          </cell>
          <cell r="P110" t="str">
            <v>30</v>
          </cell>
          <cell r="Q110" t="str">
            <v>30</v>
          </cell>
          <cell r="R110" t="str">
            <v>Senior QA Engineer</v>
          </cell>
          <cell r="S110" t="str">
            <v>Delivery-IN</v>
          </cell>
          <cell r="T110" t="str">
            <v>Hyderabad</v>
          </cell>
          <cell r="U110" t="str">
            <v xml:space="preserve">Telangana </v>
          </cell>
          <cell r="V110" t="str">
            <v>50100211832181</v>
          </cell>
          <cell r="W110" t="str">
            <v>HDFC BANK</v>
          </cell>
          <cell r="X110" t="str">
            <v>175811</v>
          </cell>
          <cell r="Y110" t="str">
            <v>DIOPM7175M</v>
          </cell>
          <cell r="Z110" t="str">
            <v>73870</v>
          </cell>
          <cell r="AA110">
            <v>73870</v>
          </cell>
          <cell r="AB110">
            <v>0</v>
          </cell>
          <cell r="AC110">
            <v>29548</v>
          </cell>
          <cell r="AD110">
            <v>29548</v>
          </cell>
          <cell r="AE110">
            <v>0</v>
          </cell>
          <cell r="AF110">
            <v>8126</v>
          </cell>
          <cell r="AG110">
            <v>8126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10000</v>
          </cell>
          <cell r="AM110">
            <v>10000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54267</v>
          </cell>
          <cell r="AS110">
            <v>54267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 t="str">
            <v>0</v>
          </cell>
          <cell r="BF110">
            <v>0</v>
          </cell>
          <cell r="BG110">
            <v>0</v>
          </cell>
          <cell r="BH110">
            <v>175811</v>
          </cell>
          <cell r="BI110">
            <v>175811</v>
          </cell>
          <cell r="BJ110">
            <v>0</v>
          </cell>
          <cell r="BK110">
            <v>0</v>
          </cell>
          <cell r="BL110">
            <v>18086</v>
          </cell>
          <cell r="BM110">
            <v>200</v>
          </cell>
          <cell r="BN110">
            <v>0</v>
          </cell>
          <cell r="BO110">
            <v>0</v>
          </cell>
          <cell r="BP110">
            <v>8864</v>
          </cell>
          <cell r="BQ110">
            <v>0</v>
          </cell>
          <cell r="BR110">
            <v>8864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 t="str">
            <v>0</v>
          </cell>
          <cell r="BZ110" t="str">
            <v>0</v>
          </cell>
          <cell r="CA110" t="str">
            <v>0</v>
          </cell>
          <cell r="CB110" t="str">
            <v>0</v>
          </cell>
          <cell r="CC110" t="str">
            <v>0</v>
          </cell>
          <cell r="CD110" t="str">
            <v>0</v>
          </cell>
          <cell r="CE110" t="str">
            <v>0</v>
          </cell>
          <cell r="CF110" t="str">
            <v>0</v>
          </cell>
          <cell r="CG110" t="str">
            <v>0</v>
          </cell>
          <cell r="CH110" t="str">
            <v>0</v>
          </cell>
          <cell r="CI110" t="str">
            <v>0</v>
          </cell>
          <cell r="CJ110" t="str">
            <v>0</v>
          </cell>
          <cell r="CK110" t="str">
            <v>0</v>
          </cell>
          <cell r="CL110" t="str">
            <v>0</v>
          </cell>
          <cell r="CM110" t="str">
            <v>0</v>
          </cell>
          <cell r="CN110" t="str">
            <v>0</v>
          </cell>
          <cell r="CO110" t="str">
            <v>0</v>
          </cell>
          <cell r="CP110" t="str">
            <v>0</v>
          </cell>
          <cell r="CQ110" t="str">
            <v>0</v>
          </cell>
          <cell r="CR110" t="str">
            <v>0</v>
          </cell>
          <cell r="CS110" t="str">
            <v>0</v>
          </cell>
          <cell r="CT110" t="str">
            <v>0</v>
          </cell>
          <cell r="CU110" t="str">
            <v>0</v>
          </cell>
          <cell r="CV110" t="str">
            <v>0</v>
          </cell>
          <cell r="CW110" t="str">
            <v>0</v>
          </cell>
          <cell r="CX110" t="str">
            <v>0</v>
          </cell>
          <cell r="CY110">
            <v>27150</v>
          </cell>
          <cell r="CZ110">
            <v>148661</v>
          </cell>
          <cell r="DA110">
            <v>0</v>
          </cell>
          <cell r="DB110">
            <v>0</v>
          </cell>
          <cell r="DC110">
            <v>148661</v>
          </cell>
        </row>
        <row r="111">
          <cell r="A111" t="str">
            <v>FS504</v>
          </cell>
          <cell r="B111" t="str">
            <v>GUNDRA SHIVA</v>
          </cell>
          <cell r="C111" t="str">
            <v>Quality Engineering</v>
          </cell>
          <cell r="D111" t="str">
            <v>02-01-2025</v>
          </cell>
          <cell r="E111" t="str">
            <v>N.A</v>
          </cell>
          <cell r="F111" t="str">
            <v>2025-10</v>
          </cell>
          <cell r="G111" t="str">
            <v>Success</v>
          </cell>
          <cell r="H111" t="str">
            <v>N.A</v>
          </cell>
          <cell r="I111" t="str">
            <v/>
          </cell>
          <cell r="J111" t="str">
            <v>30</v>
          </cell>
          <cell r="K111" t="str">
            <v>0</v>
          </cell>
          <cell r="L111" t="str">
            <v>0</v>
          </cell>
          <cell r="M111" t="str">
            <v>N.A</v>
          </cell>
          <cell r="N111" t="str">
            <v>0</v>
          </cell>
          <cell r="O111" t="str">
            <v>0</v>
          </cell>
          <cell r="P111" t="str">
            <v>30</v>
          </cell>
          <cell r="Q111" t="str">
            <v>30</v>
          </cell>
          <cell r="R111" t="str">
            <v>QA-Functional Lead</v>
          </cell>
          <cell r="S111" t="str">
            <v>Delivery-IN</v>
          </cell>
          <cell r="T111" t="str">
            <v>Hyderabad</v>
          </cell>
          <cell r="U111" t="str">
            <v xml:space="preserve">Telangana </v>
          </cell>
          <cell r="V111" t="str">
            <v>50100531646541</v>
          </cell>
          <cell r="W111" t="str">
            <v>HDFC BANK</v>
          </cell>
          <cell r="X111" t="str">
            <v>134492</v>
          </cell>
          <cell r="Y111" t="str">
            <v>GNYPS4258D</v>
          </cell>
          <cell r="Z111" t="str">
            <v>54517</v>
          </cell>
          <cell r="AA111">
            <v>54517</v>
          </cell>
          <cell r="AB111">
            <v>0</v>
          </cell>
          <cell r="AC111">
            <v>21807</v>
          </cell>
          <cell r="AD111">
            <v>21807</v>
          </cell>
          <cell r="AE111">
            <v>0</v>
          </cell>
          <cell r="AF111">
            <v>5997</v>
          </cell>
          <cell r="AG111">
            <v>5997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10000</v>
          </cell>
          <cell r="AM111">
            <v>10000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42171</v>
          </cell>
          <cell r="AS111">
            <v>42171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 t="str">
            <v>0</v>
          </cell>
          <cell r="BF111">
            <v>0</v>
          </cell>
          <cell r="BG111">
            <v>0</v>
          </cell>
          <cell r="BH111">
            <v>134492</v>
          </cell>
          <cell r="BI111">
            <v>134492</v>
          </cell>
          <cell r="BJ111">
            <v>0</v>
          </cell>
          <cell r="BK111">
            <v>0</v>
          </cell>
          <cell r="BL111">
            <v>9606</v>
          </cell>
          <cell r="BM111">
            <v>200</v>
          </cell>
          <cell r="BN111">
            <v>0</v>
          </cell>
          <cell r="BO111">
            <v>0</v>
          </cell>
          <cell r="BP111">
            <v>1800</v>
          </cell>
          <cell r="BQ111">
            <v>0</v>
          </cell>
          <cell r="BR111">
            <v>1800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 t="str">
            <v>0</v>
          </cell>
          <cell r="BZ111" t="str">
            <v>0</v>
          </cell>
          <cell r="CA111" t="str">
            <v>0</v>
          </cell>
          <cell r="CB111" t="str">
            <v>0</v>
          </cell>
          <cell r="CC111" t="str">
            <v>0</v>
          </cell>
          <cell r="CD111" t="str">
            <v>0</v>
          </cell>
          <cell r="CE111" t="str">
            <v>0</v>
          </cell>
          <cell r="CF111" t="str">
            <v>0</v>
          </cell>
          <cell r="CG111" t="str">
            <v>0</v>
          </cell>
          <cell r="CH111" t="str">
            <v>0</v>
          </cell>
          <cell r="CI111" t="str">
            <v>0</v>
          </cell>
          <cell r="CJ111" t="str">
            <v>0</v>
          </cell>
          <cell r="CK111" t="str">
            <v>0</v>
          </cell>
          <cell r="CL111" t="str">
            <v>0</v>
          </cell>
          <cell r="CM111" t="str">
            <v>0</v>
          </cell>
          <cell r="CN111" t="str">
            <v>0</v>
          </cell>
          <cell r="CO111" t="str">
            <v>0</v>
          </cell>
          <cell r="CP111" t="str">
            <v>0</v>
          </cell>
          <cell r="CQ111" t="str">
            <v>0</v>
          </cell>
          <cell r="CR111" t="str">
            <v>0</v>
          </cell>
          <cell r="CS111" t="str">
            <v>0</v>
          </cell>
          <cell r="CT111" t="str">
            <v>0</v>
          </cell>
          <cell r="CU111" t="str">
            <v>0</v>
          </cell>
          <cell r="CV111" t="str">
            <v>0</v>
          </cell>
          <cell r="CW111" t="str">
            <v>0</v>
          </cell>
          <cell r="CX111" t="str">
            <v>0</v>
          </cell>
          <cell r="CY111">
            <v>11606</v>
          </cell>
          <cell r="CZ111">
            <v>122886</v>
          </cell>
          <cell r="DA111">
            <v>0</v>
          </cell>
          <cell r="DB111">
            <v>0</v>
          </cell>
          <cell r="DC111">
            <v>122886</v>
          </cell>
        </row>
        <row r="112">
          <cell r="A112" t="str">
            <v>FS505</v>
          </cell>
          <cell r="B112" t="str">
            <v>Kommireddy Sai Venkat Kumar</v>
          </cell>
          <cell r="C112" t="str">
            <v>Talent Acquisition</v>
          </cell>
          <cell r="D112" t="str">
            <v>08-01-2025</v>
          </cell>
          <cell r="E112" t="str">
            <v>N.A</v>
          </cell>
          <cell r="F112" t="str">
            <v>2025-10</v>
          </cell>
          <cell r="G112" t="str">
            <v>Success</v>
          </cell>
          <cell r="H112" t="str">
            <v>N.A</v>
          </cell>
          <cell r="I112" t="str">
            <v/>
          </cell>
          <cell r="J112" t="str">
            <v>30</v>
          </cell>
          <cell r="K112" t="str">
            <v>0</v>
          </cell>
          <cell r="L112" t="str">
            <v>0</v>
          </cell>
          <cell r="M112" t="str">
            <v>N.A</v>
          </cell>
          <cell r="N112" t="str">
            <v>0</v>
          </cell>
          <cell r="O112" t="str">
            <v>0</v>
          </cell>
          <cell r="P112" t="str">
            <v>30</v>
          </cell>
          <cell r="Q112" t="str">
            <v>30</v>
          </cell>
          <cell r="R112" t="str">
            <v>Senior Manager -Talent Acquisition</v>
          </cell>
          <cell r="S112" t="str">
            <v>Recruitment-IN</v>
          </cell>
          <cell r="T112" t="str">
            <v>Hyderabad</v>
          </cell>
          <cell r="U112" t="str">
            <v xml:space="preserve">Telangana </v>
          </cell>
          <cell r="V112" t="str">
            <v>20523323406</v>
          </cell>
          <cell r="W112" t="str">
            <v>STATE BANK OF INDIA</v>
          </cell>
          <cell r="X112" t="str">
            <v>138908</v>
          </cell>
          <cell r="Y112" t="str">
            <v>BEMPK4145M</v>
          </cell>
          <cell r="Z112" t="str">
            <v>56283</v>
          </cell>
          <cell r="AA112">
            <v>56283</v>
          </cell>
          <cell r="AB112">
            <v>0</v>
          </cell>
          <cell r="AC112">
            <v>22513</v>
          </cell>
          <cell r="AD112">
            <v>22513</v>
          </cell>
          <cell r="AE112">
            <v>0</v>
          </cell>
          <cell r="AF112">
            <v>6191</v>
          </cell>
          <cell r="AG112">
            <v>6191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10000</v>
          </cell>
          <cell r="AM112">
            <v>10000</v>
          </cell>
          <cell r="AN112">
            <v>0</v>
          </cell>
          <cell r="AO112">
            <v>2200</v>
          </cell>
          <cell r="AP112">
            <v>2200</v>
          </cell>
          <cell r="AQ112">
            <v>0</v>
          </cell>
          <cell r="AR112">
            <v>41721</v>
          </cell>
          <cell r="AS112">
            <v>41721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 t="str">
            <v>0</v>
          </cell>
          <cell r="BF112">
            <v>0</v>
          </cell>
          <cell r="BG112">
            <v>0</v>
          </cell>
          <cell r="BH112">
            <v>138908</v>
          </cell>
          <cell r="BI112">
            <v>138908</v>
          </cell>
          <cell r="BJ112">
            <v>2200</v>
          </cell>
          <cell r="BK112">
            <v>0</v>
          </cell>
          <cell r="BL112">
            <v>10804</v>
          </cell>
          <cell r="BM112">
            <v>200</v>
          </cell>
          <cell r="BN112">
            <v>0</v>
          </cell>
          <cell r="BO112">
            <v>0</v>
          </cell>
          <cell r="BP112">
            <v>1800</v>
          </cell>
          <cell r="BQ112">
            <v>0</v>
          </cell>
          <cell r="BR112">
            <v>1800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 t="str">
            <v>0</v>
          </cell>
          <cell r="BZ112" t="str">
            <v>0</v>
          </cell>
          <cell r="CA112" t="str">
            <v>0</v>
          </cell>
          <cell r="CB112" t="str">
            <v>0</v>
          </cell>
          <cell r="CC112" t="str">
            <v>0</v>
          </cell>
          <cell r="CD112" t="str">
            <v>0</v>
          </cell>
          <cell r="CE112" t="str">
            <v>0</v>
          </cell>
          <cell r="CF112" t="str">
            <v>0</v>
          </cell>
          <cell r="CG112" t="str">
            <v>0</v>
          </cell>
          <cell r="CH112" t="str">
            <v>0</v>
          </cell>
          <cell r="CI112" t="str">
            <v>0</v>
          </cell>
          <cell r="CJ112" t="str">
            <v>0</v>
          </cell>
          <cell r="CK112" t="str">
            <v>0</v>
          </cell>
          <cell r="CL112" t="str">
            <v>0</v>
          </cell>
          <cell r="CM112" t="str">
            <v>0</v>
          </cell>
          <cell r="CN112" t="str">
            <v>0</v>
          </cell>
          <cell r="CO112" t="str">
            <v>0</v>
          </cell>
          <cell r="CP112" t="str">
            <v>0</v>
          </cell>
          <cell r="CQ112" t="str">
            <v>0</v>
          </cell>
          <cell r="CR112" t="str">
            <v>0</v>
          </cell>
          <cell r="CS112" t="str">
            <v>0</v>
          </cell>
          <cell r="CT112" t="str">
            <v>0</v>
          </cell>
          <cell r="CU112" t="str">
            <v>0</v>
          </cell>
          <cell r="CV112" t="str">
            <v>0</v>
          </cell>
          <cell r="CW112" t="str">
            <v>0</v>
          </cell>
          <cell r="CX112" t="str">
            <v>0</v>
          </cell>
          <cell r="CY112">
            <v>15004</v>
          </cell>
          <cell r="CZ112">
            <v>123904</v>
          </cell>
          <cell r="DA112">
            <v>0</v>
          </cell>
          <cell r="DB112">
            <v>0</v>
          </cell>
          <cell r="DC112">
            <v>123904</v>
          </cell>
        </row>
        <row r="113">
          <cell r="A113" t="str">
            <v>FS507</v>
          </cell>
          <cell r="B113" t="str">
            <v>Arpit Nain</v>
          </cell>
          <cell r="C113" t="str">
            <v>Quality Engineering</v>
          </cell>
          <cell r="D113" t="str">
            <v>15-01-2025</v>
          </cell>
          <cell r="E113" t="str">
            <v>N.A</v>
          </cell>
          <cell r="F113" t="str">
            <v>2025-10</v>
          </cell>
          <cell r="G113" t="str">
            <v>Success</v>
          </cell>
          <cell r="H113" t="str">
            <v>N.A</v>
          </cell>
          <cell r="I113" t="str">
            <v/>
          </cell>
          <cell r="J113" t="str">
            <v>30</v>
          </cell>
          <cell r="K113" t="str">
            <v>0</v>
          </cell>
          <cell r="L113" t="str">
            <v>0</v>
          </cell>
          <cell r="M113" t="str">
            <v>N.A</v>
          </cell>
          <cell r="N113" t="str">
            <v>0</v>
          </cell>
          <cell r="O113" t="str">
            <v>0</v>
          </cell>
          <cell r="P113" t="str">
            <v>30</v>
          </cell>
          <cell r="Q113" t="str">
            <v>30</v>
          </cell>
          <cell r="R113" t="str">
            <v>Senior Technical Consultant</v>
          </cell>
          <cell r="S113" t="str">
            <v>Delivery-IN</v>
          </cell>
          <cell r="T113" t="str">
            <v>Hyderabad</v>
          </cell>
          <cell r="U113" t="str">
            <v xml:space="preserve">Telangana </v>
          </cell>
          <cell r="V113" t="str">
            <v>50100225065421</v>
          </cell>
          <cell r="W113" t="str">
            <v>HDFC BANK</v>
          </cell>
          <cell r="X113" t="str">
            <v>176600</v>
          </cell>
          <cell r="Y113" t="str">
            <v>AWYPN8620P</v>
          </cell>
          <cell r="Z113" t="str">
            <v>70000</v>
          </cell>
          <cell r="AA113">
            <v>70000</v>
          </cell>
          <cell r="AB113">
            <v>0</v>
          </cell>
          <cell r="AC113">
            <v>28000</v>
          </cell>
          <cell r="AD113">
            <v>28000</v>
          </cell>
          <cell r="AE113">
            <v>0</v>
          </cell>
          <cell r="AF113">
            <v>7700</v>
          </cell>
          <cell r="AG113">
            <v>7700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10000</v>
          </cell>
          <cell r="AM113">
            <v>10000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50900</v>
          </cell>
          <cell r="AS113">
            <v>50900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10000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 t="str">
            <v>0</v>
          </cell>
          <cell r="BF113">
            <v>0</v>
          </cell>
          <cell r="BG113">
            <v>10000</v>
          </cell>
          <cell r="BH113">
            <v>176600</v>
          </cell>
          <cell r="BI113">
            <v>176600</v>
          </cell>
          <cell r="BJ113">
            <v>0</v>
          </cell>
          <cell r="BK113">
            <v>0</v>
          </cell>
          <cell r="BL113">
            <v>17794</v>
          </cell>
          <cell r="BM113">
            <v>200</v>
          </cell>
          <cell r="BN113">
            <v>0</v>
          </cell>
          <cell r="BO113">
            <v>0</v>
          </cell>
          <cell r="BP113">
            <v>8400</v>
          </cell>
          <cell r="BQ113">
            <v>0</v>
          </cell>
          <cell r="BR113">
            <v>8400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 t="str">
            <v>0</v>
          </cell>
          <cell r="BZ113" t="str">
            <v>0</v>
          </cell>
          <cell r="CA113" t="str">
            <v>0</v>
          </cell>
          <cell r="CB113" t="str">
            <v>0</v>
          </cell>
          <cell r="CC113" t="str">
            <v>0</v>
          </cell>
          <cell r="CD113" t="str">
            <v>0</v>
          </cell>
          <cell r="CE113" t="str">
            <v>0</v>
          </cell>
          <cell r="CF113" t="str">
            <v>0</v>
          </cell>
          <cell r="CG113" t="str">
            <v>0</v>
          </cell>
          <cell r="CH113" t="str">
            <v>0</v>
          </cell>
          <cell r="CI113" t="str">
            <v>0</v>
          </cell>
          <cell r="CJ113" t="str">
            <v>0</v>
          </cell>
          <cell r="CK113" t="str">
            <v>0</v>
          </cell>
          <cell r="CL113" t="str">
            <v>0</v>
          </cell>
          <cell r="CM113" t="str">
            <v>0</v>
          </cell>
          <cell r="CN113" t="str">
            <v>0</v>
          </cell>
          <cell r="CO113" t="str">
            <v>0</v>
          </cell>
          <cell r="CP113" t="str">
            <v>0</v>
          </cell>
          <cell r="CQ113" t="str">
            <v>0</v>
          </cell>
          <cell r="CR113" t="str">
            <v>0</v>
          </cell>
          <cell r="CS113" t="str">
            <v>0</v>
          </cell>
          <cell r="CT113" t="str">
            <v>0</v>
          </cell>
          <cell r="CU113" t="str">
            <v>0</v>
          </cell>
          <cell r="CV113" t="str">
            <v>0</v>
          </cell>
          <cell r="CW113" t="str">
            <v>0</v>
          </cell>
          <cell r="CX113" t="str">
            <v>0</v>
          </cell>
          <cell r="CY113">
            <v>26394</v>
          </cell>
          <cell r="CZ113">
            <v>150206</v>
          </cell>
          <cell r="DA113">
            <v>0</v>
          </cell>
          <cell r="DB113">
            <v>0</v>
          </cell>
          <cell r="DC113">
            <v>150206</v>
          </cell>
        </row>
        <row r="114">
          <cell r="A114" t="str">
            <v>FS508</v>
          </cell>
          <cell r="B114" t="str">
            <v>Kukkala Ramya</v>
          </cell>
          <cell r="C114" t="str">
            <v>Product Engineering</v>
          </cell>
          <cell r="D114" t="str">
            <v>20-01-2025</v>
          </cell>
          <cell r="E114" t="str">
            <v>N.A</v>
          </cell>
          <cell r="F114" t="str">
            <v>2025-10</v>
          </cell>
          <cell r="G114" t="str">
            <v>Success</v>
          </cell>
          <cell r="H114" t="str">
            <v>N.A</v>
          </cell>
          <cell r="I114" t="str">
            <v/>
          </cell>
          <cell r="J114" t="str">
            <v>30</v>
          </cell>
          <cell r="K114" t="str">
            <v>0</v>
          </cell>
          <cell r="L114" t="str">
            <v>0</v>
          </cell>
          <cell r="M114" t="str">
            <v>N.A</v>
          </cell>
          <cell r="N114" t="str">
            <v>0</v>
          </cell>
          <cell r="O114" t="str">
            <v>0</v>
          </cell>
          <cell r="P114" t="str">
            <v>30</v>
          </cell>
          <cell r="Q114" t="str">
            <v>30</v>
          </cell>
          <cell r="R114" t="str">
            <v>QA Lead - Functional Testing</v>
          </cell>
          <cell r="S114" t="str">
            <v>Delivery-IN</v>
          </cell>
          <cell r="T114" t="str">
            <v>Hyderabad</v>
          </cell>
          <cell r="U114" t="str">
            <v xml:space="preserve">Telangana </v>
          </cell>
          <cell r="V114" t="str">
            <v>50100483336254</v>
          </cell>
          <cell r="W114" t="str">
            <v>HDFC BANK</v>
          </cell>
          <cell r="X114" t="str">
            <v>148567</v>
          </cell>
          <cell r="Y114" t="str">
            <v>DYDPK8982D</v>
          </cell>
          <cell r="Z114" t="str">
            <v>60147</v>
          </cell>
          <cell r="AA114">
            <v>60147</v>
          </cell>
          <cell r="AB114">
            <v>0</v>
          </cell>
          <cell r="AC114">
            <v>24059</v>
          </cell>
          <cell r="AD114">
            <v>24059</v>
          </cell>
          <cell r="AE114">
            <v>0</v>
          </cell>
          <cell r="AF114">
            <v>6616</v>
          </cell>
          <cell r="AG114">
            <v>6616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10000</v>
          </cell>
          <cell r="AM114">
            <v>10000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47745</v>
          </cell>
          <cell r="AS114">
            <v>47745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 t="str">
            <v>0</v>
          </cell>
          <cell r="BF114">
            <v>0</v>
          </cell>
          <cell r="BG114">
            <v>0</v>
          </cell>
          <cell r="BH114">
            <v>148567</v>
          </cell>
          <cell r="BI114">
            <v>148567</v>
          </cell>
          <cell r="BJ114">
            <v>0</v>
          </cell>
          <cell r="BK114">
            <v>0</v>
          </cell>
          <cell r="BL114">
            <v>12269</v>
          </cell>
          <cell r="BM114">
            <v>200</v>
          </cell>
          <cell r="BN114">
            <v>0</v>
          </cell>
          <cell r="BO114">
            <v>0</v>
          </cell>
          <cell r="BP114">
            <v>1800</v>
          </cell>
          <cell r="BQ114">
            <v>0</v>
          </cell>
          <cell r="BR114">
            <v>1800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 t="str">
            <v>0</v>
          </cell>
          <cell r="BZ114" t="str">
            <v>0</v>
          </cell>
          <cell r="CA114" t="str">
            <v>0</v>
          </cell>
          <cell r="CB114" t="str">
            <v>0</v>
          </cell>
          <cell r="CC114" t="str">
            <v>0</v>
          </cell>
          <cell r="CD114" t="str">
            <v>0</v>
          </cell>
          <cell r="CE114" t="str">
            <v>0</v>
          </cell>
          <cell r="CF114" t="str">
            <v>0</v>
          </cell>
          <cell r="CG114" t="str">
            <v>0</v>
          </cell>
          <cell r="CH114" t="str">
            <v>0</v>
          </cell>
          <cell r="CI114" t="str">
            <v>0</v>
          </cell>
          <cell r="CJ114" t="str">
            <v>0</v>
          </cell>
          <cell r="CK114" t="str">
            <v>0</v>
          </cell>
          <cell r="CL114" t="str">
            <v>0</v>
          </cell>
          <cell r="CM114" t="str">
            <v>0</v>
          </cell>
          <cell r="CN114" t="str">
            <v>0</v>
          </cell>
          <cell r="CO114" t="str">
            <v>0</v>
          </cell>
          <cell r="CP114" t="str">
            <v>0</v>
          </cell>
          <cell r="CQ114" t="str">
            <v>0</v>
          </cell>
          <cell r="CR114" t="str">
            <v>0</v>
          </cell>
          <cell r="CS114" t="str">
            <v>0</v>
          </cell>
          <cell r="CT114" t="str">
            <v>0</v>
          </cell>
          <cell r="CU114" t="str">
            <v>0</v>
          </cell>
          <cell r="CV114" t="str">
            <v>0</v>
          </cell>
          <cell r="CW114" t="str">
            <v>0</v>
          </cell>
          <cell r="CX114" t="str">
            <v>0</v>
          </cell>
          <cell r="CY114">
            <v>14269</v>
          </cell>
          <cell r="CZ114">
            <v>134298</v>
          </cell>
          <cell r="DA114">
            <v>0</v>
          </cell>
          <cell r="DB114">
            <v>0</v>
          </cell>
          <cell r="DC114">
            <v>134298</v>
          </cell>
        </row>
        <row r="115">
          <cell r="A115" t="str">
            <v>FS509</v>
          </cell>
          <cell r="B115" t="str">
            <v>Janapati Praveena</v>
          </cell>
          <cell r="C115" t="str">
            <v>Product Engineering</v>
          </cell>
          <cell r="D115" t="str">
            <v>23-01-2025</v>
          </cell>
          <cell r="E115" t="str">
            <v>N.A</v>
          </cell>
          <cell r="F115" t="str">
            <v>2025-10</v>
          </cell>
          <cell r="G115" t="str">
            <v>Success</v>
          </cell>
          <cell r="H115" t="str">
            <v>N.A</v>
          </cell>
          <cell r="I115" t="str">
            <v/>
          </cell>
          <cell r="J115" t="str">
            <v>30</v>
          </cell>
          <cell r="K115" t="str">
            <v>0</v>
          </cell>
          <cell r="L115" t="str">
            <v>0</v>
          </cell>
          <cell r="M115" t="str">
            <v>N.A</v>
          </cell>
          <cell r="N115" t="str">
            <v>0</v>
          </cell>
          <cell r="O115" t="str">
            <v>0</v>
          </cell>
          <cell r="P115" t="str">
            <v>30</v>
          </cell>
          <cell r="Q115" t="str">
            <v>30</v>
          </cell>
          <cell r="R115" t="str">
            <v>Technical Lead -RPA</v>
          </cell>
          <cell r="S115" t="str">
            <v>Product Engineering</v>
          </cell>
          <cell r="T115" t="str">
            <v>Hyderabad</v>
          </cell>
          <cell r="U115" t="str">
            <v xml:space="preserve">Telangana </v>
          </cell>
          <cell r="V115" t="str">
            <v>50100058048437</v>
          </cell>
          <cell r="W115" t="str">
            <v>HDFC BANK</v>
          </cell>
          <cell r="X115" t="str">
            <v>198458</v>
          </cell>
          <cell r="Y115" t="str">
            <v>AYEPJ2196A</v>
          </cell>
          <cell r="Z115" t="str">
            <v>80103</v>
          </cell>
          <cell r="AA115">
            <v>80103</v>
          </cell>
          <cell r="AB115">
            <v>0</v>
          </cell>
          <cell r="AC115">
            <v>32041</v>
          </cell>
          <cell r="AD115">
            <v>32041</v>
          </cell>
          <cell r="AE115">
            <v>0</v>
          </cell>
          <cell r="AF115">
            <v>8811</v>
          </cell>
          <cell r="AG115">
            <v>8811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10000</v>
          </cell>
          <cell r="AM115">
            <v>10000</v>
          </cell>
          <cell r="AN115">
            <v>0</v>
          </cell>
          <cell r="AO115">
            <v>2200</v>
          </cell>
          <cell r="AP115">
            <v>2200</v>
          </cell>
          <cell r="AQ115">
            <v>0</v>
          </cell>
          <cell r="AR115">
            <v>65303</v>
          </cell>
          <cell r="AS115">
            <v>65303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 t="str">
            <v>0</v>
          </cell>
          <cell r="BF115">
            <v>0</v>
          </cell>
          <cell r="BG115">
            <v>0</v>
          </cell>
          <cell r="BH115">
            <v>198458</v>
          </cell>
          <cell r="BI115">
            <v>198458</v>
          </cell>
          <cell r="BJ115">
            <v>2200</v>
          </cell>
          <cell r="BK115">
            <v>0</v>
          </cell>
          <cell r="BL115">
            <v>38537</v>
          </cell>
          <cell r="BM115">
            <v>200</v>
          </cell>
          <cell r="BN115">
            <v>0</v>
          </cell>
          <cell r="BO115">
            <v>0</v>
          </cell>
          <cell r="BP115">
            <v>1800</v>
          </cell>
          <cell r="BQ115">
            <v>0</v>
          </cell>
          <cell r="BR115">
            <v>1800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 t="str">
            <v>0</v>
          </cell>
          <cell r="BZ115" t="str">
            <v>0</v>
          </cell>
          <cell r="CA115" t="str">
            <v>0</v>
          </cell>
          <cell r="CB115" t="str">
            <v>0</v>
          </cell>
          <cell r="CC115" t="str">
            <v>0</v>
          </cell>
          <cell r="CD115" t="str">
            <v>0</v>
          </cell>
          <cell r="CE115" t="str">
            <v>0</v>
          </cell>
          <cell r="CF115" t="str">
            <v>0</v>
          </cell>
          <cell r="CG115" t="str">
            <v>0</v>
          </cell>
          <cell r="CH115" t="str">
            <v>0</v>
          </cell>
          <cell r="CI115" t="str">
            <v>0</v>
          </cell>
          <cell r="CJ115" t="str">
            <v>0</v>
          </cell>
          <cell r="CK115" t="str">
            <v>0</v>
          </cell>
          <cell r="CL115" t="str">
            <v>0</v>
          </cell>
          <cell r="CM115" t="str">
            <v>0</v>
          </cell>
          <cell r="CN115" t="str">
            <v>0</v>
          </cell>
          <cell r="CO115" t="str">
            <v>0</v>
          </cell>
          <cell r="CP115" t="str">
            <v>0</v>
          </cell>
          <cell r="CQ115" t="str">
            <v>0</v>
          </cell>
          <cell r="CR115" t="str">
            <v>0</v>
          </cell>
          <cell r="CS115" t="str">
            <v>0</v>
          </cell>
          <cell r="CT115" t="str">
            <v>0</v>
          </cell>
          <cell r="CU115" t="str">
            <v>0</v>
          </cell>
          <cell r="CV115" t="str">
            <v>0</v>
          </cell>
          <cell r="CW115" t="str">
            <v>0</v>
          </cell>
          <cell r="CX115" t="str">
            <v>0</v>
          </cell>
          <cell r="CY115">
            <v>42737</v>
          </cell>
          <cell r="CZ115">
            <v>155721</v>
          </cell>
          <cell r="DA115">
            <v>0</v>
          </cell>
          <cell r="DB115">
            <v>0</v>
          </cell>
          <cell r="DC115">
            <v>155721</v>
          </cell>
        </row>
        <row r="116">
          <cell r="A116" t="str">
            <v>FS510</v>
          </cell>
          <cell r="B116" t="str">
            <v>Sahukari Ananda Rao</v>
          </cell>
          <cell r="C116" t="str">
            <v>Product Engineering</v>
          </cell>
          <cell r="D116" t="str">
            <v>05-02-2025</v>
          </cell>
          <cell r="E116" t="str">
            <v>N.A</v>
          </cell>
          <cell r="F116" t="str">
            <v>2025-10</v>
          </cell>
          <cell r="G116" t="str">
            <v>Success</v>
          </cell>
          <cell r="H116" t="str">
            <v>N.A</v>
          </cell>
          <cell r="I116" t="str">
            <v/>
          </cell>
          <cell r="J116" t="str">
            <v>30</v>
          </cell>
          <cell r="K116" t="str">
            <v>0</v>
          </cell>
          <cell r="L116" t="str">
            <v>0</v>
          </cell>
          <cell r="M116" t="str">
            <v>N.A</v>
          </cell>
          <cell r="N116" t="str">
            <v>0</v>
          </cell>
          <cell r="O116" t="str">
            <v>0</v>
          </cell>
          <cell r="P116" t="str">
            <v>30</v>
          </cell>
          <cell r="Q116" t="str">
            <v>30</v>
          </cell>
          <cell r="R116" t="str">
            <v>Technical Lead</v>
          </cell>
          <cell r="S116" t="str">
            <v>Product Engineering</v>
          </cell>
          <cell r="T116" t="str">
            <v>Hyderabad</v>
          </cell>
          <cell r="U116" t="str">
            <v xml:space="preserve">Telangana </v>
          </cell>
          <cell r="V116" t="str">
            <v>50100347253839</v>
          </cell>
          <cell r="W116" t="str">
            <v>HDFC BANK</v>
          </cell>
          <cell r="X116" t="str">
            <v>257133</v>
          </cell>
          <cell r="Y116" t="str">
            <v>CDKPR2160M</v>
          </cell>
          <cell r="Z116" t="str">
            <v>103573</v>
          </cell>
          <cell r="AA116">
            <v>103573</v>
          </cell>
          <cell r="AB116">
            <v>0</v>
          </cell>
          <cell r="AC116">
            <v>41429</v>
          </cell>
          <cell r="AD116">
            <v>41429</v>
          </cell>
          <cell r="AE116">
            <v>0</v>
          </cell>
          <cell r="AF116">
            <v>11393</v>
          </cell>
          <cell r="AG116">
            <v>11393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10000</v>
          </cell>
          <cell r="AM116">
            <v>10000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90738</v>
          </cell>
          <cell r="AS116">
            <v>90738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 t="str">
            <v>0</v>
          </cell>
          <cell r="BF116">
            <v>0</v>
          </cell>
          <cell r="BG116">
            <v>0</v>
          </cell>
          <cell r="BH116">
            <v>257133</v>
          </cell>
          <cell r="BI116">
            <v>257133</v>
          </cell>
          <cell r="BJ116">
            <v>0</v>
          </cell>
          <cell r="BK116">
            <v>0</v>
          </cell>
          <cell r="BL116">
            <v>41876</v>
          </cell>
          <cell r="BM116">
            <v>200</v>
          </cell>
          <cell r="BN116">
            <v>0</v>
          </cell>
          <cell r="BO116">
            <v>0</v>
          </cell>
          <cell r="BP116">
            <v>1800</v>
          </cell>
          <cell r="BQ116">
            <v>0</v>
          </cell>
          <cell r="BR116">
            <v>1800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 t="str">
            <v>0</v>
          </cell>
          <cell r="BZ116" t="str">
            <v>0</v>
          </cell>
          <cell r="CA116" t="str">
            <v>0</v>
          </cell>
          <cell r="CB116" t="str">
            <v>0</v>
          </cell>
          <cell r="CC116" t="str">
            <v>0</v>
          </cell>
          <cell r="CD116" t="str">
            <v>0</v>
          </cell>
          <cell r="CE116" t="str">
            <v>0</v>
          </cell>
          <cell r="CF116" t="str">
            <v>0</v>
          </cell>
          <cell r="CG116" t="str">
            <v>0</v>
          </cell>
          <cell r="CH116" t="str">
            <v>0</v>
          </cell>
          <cell r="CI116" t="str">
            <v>0</v>
          </cell>
          <cell r="CJ116" t="str">
            <v>0</v>
          </cell>
          <cell r="CK116" t="str">
            <v>0</v>
          </cell>
          <cell r="CL116" t="str">
            <v>0</v>
          </cell>
          <cell r="CM116" t="str">
            <v>0</v>
          </cell>
          <cell r="CN116" t="str">
            <v>0</v>
          </cell>
          <cell r="CO116" t="str">
            <v>0</v>
          </cell>
          <cell r="CP116" t="str">
            <v>0</v>
          </cell>
          <cell r="CQ116" t="str">
            <v>0</v>
          </cell>
          <cell r="CR116" t="str">
            <v>0</v>
          </cell>
          <cell r="CS116" t="str">
            <v>0</v>
          </cell>
          <cell r="CT116" t="str">
            <v>0</v>
          </cell>
          <cell r="CU116" t="str">
            <v>0</v>
          </cell>
          <cell r="CV116" t="str">
            <v>0</v>
          </cell>
          <cell r="CW116" t="str">
            <v>0</v>
          </cell>
          <cell r="CX116" t="str">
            <v>0</v>
          </cell>
          <cell r="CY116">
            <v>43876</v>
          </cell>
          <cell r="CZ116">
            <v>213257</v>
          </cell>
          <cell r="DA116">
            <v>0</v>
          </cell>
          <cell r="DB116">
            <v>0</v>
          </cell>
          <cell r="DC116">
            <v>213257</v>
          </cell>
        </row>
        <row r="117">
          <cell r="A117" t="str">
            <v>FS511</v>
          </cell>
          <cell r="B117" t="str">
            <v>Shivangi Nema</v>
          </cell>
          <cell r="C117" t="str">
            <v>Talent Acquisition</v>
          </cell>
          <cell r="D117" t="str">
            <v>10-02-2025</v>
          </cell>
          <cell r="E117" t="str">
            <v>06-10-2025</v>
          </cell>
          <cell r="F117" t="str">
            <v>2025-10</v>
          </cell>
          <cell r="G117" t="str">
            <v>Success</v>
          </cell>
          <cell r="H117" t="str">
            <v>N.A</v>
          </cell>
          <cell r="I117" t="str">
            <v>Hold Salary</v>
          </cell>
          <cell r="J117" t="str">
            <v>30</v>
          </cell>
          <cell r="K117" t="str">
            <v>0</v>
          </cell>
          <cell r="L117" t="str">
            <v>0</v>
          </cell>
          <cell r="M117" t="str">
            <v>N.A</v>
          </cell>
          <cell r="N117" t="str">
            <v>0</v>
          </cell>
          <cell r="O117" t="str">
            <v>0</v>
          </cell>
          <cell r="P117" t="str">
            <v>11</v>
          </cell>
          <cell r="Q117" t="str">
            <v>11</v>
          </cell>
          <cell r="R117" t="str">
            <v>Lead - Talent Acquisition</v>
          </cell>
          <cell r="S117" t="str">
            <v>Recruitment-IN</v>
          </cell>
          <cell r="T117" t="str">
            <v>Hyderabad</v>
          </cell>
          <cell r="U117" t="str">
            <v xml:space="preserve">Telangana </v>
          </cell>
          <cell r="V117" t="str">
            <v>50100159690356</v>
          </cell>
          <cell r="W117" t="str">
            <v>HDFC BANK</v>
          </cell>
          <cell r="X117" t="str">
            <v>98200</v>
          </cell>
          <cell r="Y117" t="str">
            <v>AQJPN2235M</v>
          </cell>
          <cell r="Z117" t="str">
            <v>40000</v>
          </cell>
          <cell r="AA117">
            <v>14667</v>
          </cell>
          <cell r="AB117">
            <v>0</v>
          </cell>
          <cell r="AC117">
            <v>16000</v>
          </cell>
          <cell r="AD117">
            <v>5867</v>
          </cell>
          <cell r="AE117">
            <v>0</v>
          </cell>
          <cell r="AF117">
            <v>4400</v>
          </cell>
          <cell r="AG117">
            <v>1613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10000</v>
          </cell>
          <cell r="AM117">
            <v>3667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27800</v>
          </cell>
          <cell r="AS117">
            <v>10193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 t="str">
            <v>0</v>
          </cell>
          <cell r="BF117">
            <v>0</v>
          </cell>
          <cell r="BG117">
            <v>0</v>
          </cell>
          <cell r="BH117">
            <v>36007</v>
          </cell>
          <cell r="BI117">
            <v>36007</v>
          </cell>
          <cell r="BJ117">
            <v>0</v>
          </cell>
          <cell r="BK117">
            <v>0</v>
          </cell>
          <cell r="BL117">
            <v>0</v>
          </cell>
          <cell r="BM117">
            <v>200</v>
          </cell>
          <cell r="BN117">
            <v>0</v>
          </cell>
          <cell r="BO117">
            <v>0</v>
          </cell>
          <cell r="BP117">
            <v>1760</v>
          </cell>
          <cell r="BQ117">
            <v>0</v>
          </cell>
          <cell r="BR117">
            <v>1760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 t="str">
            <v>0</v>
          </cell>
          <cell r="BZ117" t="str">
            <v>0</v>
          </cell>
          <cell r="CA117" t="str">
            <v>0</v>
          </cell>
          <cell r="CB117" t="str">
            <v>0</v>
          </cell>
          <cell r="CC117" t="str">
            <v>0</v>
          </cell>
          <cell r="CD117" t="str">
            <v>0</v>
          </cell>
          <cell r="CE117" t="str">
            <v>0</v>
          </cell>
          <cell r="CF117" t="str">
            <v>0</v>
          </cell>
          <cell r="CG117" t="str">
            <v>0</v>
          </cell>
          <cell r="CH117" t="str">
            <v>0</v>
          </cell>
          <cell r="CI117" t="str">
            <v>0</v>
          </cell>
          <cell r="CJ117" t="str">
            <v>0</v>
          </cell>
          <cell r="CK117" t="str">
            <v>0</v>
          </cell>
          <cell r="CL117" t="str">
            <v>0</v>
          </cell>
          <cell r="CM117" t="str">
            <v>0</v>
          </cell>
          <cell r="CN117" t="str">
            <v>0</v>
          </cell>
          <cell r="CO117" t="str">
            <v>0</v>
          </cell>
          <cell r="CP117" t="str">
            <v>0</v>
          </cell>
          <cell r="CQ117" t="str">
            <v>0</v>
          </cell>
          <cell r="CR117" t="str">
            <v>0</v>
          </cell>
          <cell r="CS117" t="str">
            <v>0</v>
          </cell>
          <cell r="CT117" t="str">
            <v>0</v>
          </cell>
          <cell r="CU117" t="str">
            <v>0</v>
          </cell>
          <cell r="CV117" t="str">
            <v>0</v>
          </cell>
          <cell r="CW117" t="str">
            <v>0</v>
          </cell>
          <cell r="CX117" t="str">
            <v>0</v>
          </cell>
          <cell r="CY117">
            <v>1960</v>
          </cell>
          <cell r="CZ117">
            <v>34047</v>
          </cell>
          <cell r="DA117">
            <v>0</v>
          </cell>
          <cell r="DB117">
            <v>0</v>
          </cell>
          <cell r="DC117">
            <v>34047</v>
          </cell>
        </row>
        <row r="118">
          <cell r="A118" t="str">
            <v>FS512</v>
          </cell>
          <cell r="B118" t="str">
            <v>ABHIRAJ KAMALKISHOR KAKANI</v>
          </cell>
          <cell r="C118" t="str">
            <v>Data &amp; Insights</v>
          </cell>
          <cell r="D118" t="str">
            <v>17-02-2025</v>
          </cell>
          <cell r="E118" t="str">
            <v>N.A</v>
          </cell>
          <cell r="F118" t="str">
            <v>2025-10</v>
          </cell>
          <cell r="G118" t="str">
            <v>Success</v>
          </cell>
          <cell r="H118" t="str">
            <v>N.A</v>
          </cell>
          <cell r="I118" t="str">
            <v/>
          </cell>
          <cell r="J118" t="str">
            <v>30</v>
          </cell>
          <cell r="K118" t="str">
            <v>0</v>
          </cell>
          <cell r="L118" t="str">
            <v>0</v>
          </cell>
          <cell r="M118" t="str">
            <v>N.A</v>
          </cell>
          <cell r="N118" t="str">
            <v>0</v>
          </cell>
          <cell r="O118" t="str">
            <v>0</v>
          </cell>
          <cell r="P118" t="str">
            <v>30</v>
          </cell>
          <cell r="Q118" t="str">
            <v>30</v>
          </cell>
          <cell r="R118" t="str">
            <v>Senior Manager Analytics</v>
          </cell>
          <cell r="S118" t="str">
            <v>Delivery-IN</v>
          </cell>
          <cell r="T118" t="str">
            <v>Hyderabad</v>
          </cell>
          <cell r="U118" t="str">
            <v xml:space="preserve">Telangana </v>
          </cell>
          <cell r="V118" t="str">
            <v>50100143912633</v>
          </cell>
          <cell r="W118" t="str">
            <v>HDFC BANK</v>
          </cell>
          <cell r="X118" t="str">
            <v>252367</v>
          </cell>
          <cell r="Y118" t="str">
            <v>BVFPK4139K</v>
          </cell>
          <cell r="Z118" t="str">
            <v>101667</v>
          </cell>
          <cell r="AA118">
            <v>101667</v>
          </cell>
          <cell r="AB118">
            <v>0</v>
          </cell>
          <cell r="AC118">
            <v>40667</v>
          </cell>
          <cell r="AD118">
            <v>40667</v>
          </cell>
          <cell r="AE118">
            <v>0</v>
          </cell>
          <cell r="AF118">
            <v>11183</v>
          </cell>
          <cell r="AG118">
            <v>11183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10000</v>
          </cell>
          <cell r="AM118">
            <v>10000</v>
          </cell>
          <cell r="AN118">
            <v>0</v>
          </cell>
          <cell r="AO118">
            <v>2200</v>
          </cell>
          <cell r="AP118">
            <v>2200</v>
          </cell>
          <cell r="AQ118">
            <v>0</v>
          </cell>
          <cell r="AR118">
            <v>86650</v>
          </cell>
          <cell r="AS118">
            <v>86650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 t="str">
            <v>0</v>
          </cell>
          <cell r="BF118">
            <v>0</v>
          </cell>
          <cell r="BG118">
            <v>0</v>
          </cell>
          <cell r="BH118">
            <v>252367</v>
          </cell>
          <cell r="BI118">
            <v>252367</v>
          </cell>
          <cell r="BJ118">
            <v>2200</v>
          </cell>
          <cell r="BK118">
            <v>0</v>
          </cell>
          <cell r="BL118">
            <v>40388</v>
          </cell>
          <cell r="BM118">
            <v>200</v>
          </cell>
          <cell r="BN118">
            <v>0</v>
          </cell>
          <cell r="BO118">
            <v>0</v>
          </cell>
          <cell r="BP118">
            <v>1800</v>
          </cell>
          <cell r="BQ118">
            <v>0</v>
          </cell>
          <cell r="BR118">
            <v>1800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 t="str">
            <v>0</v>
          </cell>
          <cell r="BZ118" t="str">
            <v>0</v>
          </cell>
          <cell r="CA118" t="str">
            <v>0</v>
          </cell>
          <cell r="CB118" t="str">
            <v>0</v>
          </cell>
          <cell r="CC118" t="str">
            <v>0</v>
          </cell>
          <cell r="CD118" t="str">
            <v>0</v>
          </cell>
          <cell r="CE118" t="str">
            <v>0</v>
          </cell>
          <cell r="CF118" t="str">
            <v>0</v>
          </cell>
          <cell r="CG118" t="str">
            <v>0</v>
          </cell>
          <cell r="CH118" t="str">
            <v>0</v>
          </cell>
          <cell r="CI118" t="str">
            <v>0</v>
          </cell>
          <cell r="CJ118" t="str">
            <v>0</v>
          </cell>
          <cell r="CK118" t="str">
            <v>0</v>
          </cell>
          <cell r="CL118" t="str">
            <v>0</v>
          </cell>
          <cell r="CM118" t="str">
            <v>0</v>
          </cell>
          <cell r="CN118" t="str">
            <v>0</v>
          </cell>
          <cell r="CO118" t="str">
            <v>0</v>
          </cell>
          <cell r="CP118" t="str">
            <v>0</v>
          </cell>
          <cell r="CQ118" t="str">
            <v>0</v>
          </cell>
          <cell r="CR118" t="str">
            <v>0</v>
          </cell>
          <cell r="CS118" t="str">
            <v>0</v>
          </cell>
          <cell r="CT118" t="str">
            <v>0</v>
          </cell>
          <cell r="CU118" t="str">
            <v>0</v>
          </cell>
          <cell r="CV118" t="str">
            <v>0</v>
          </cell>
          <cell r="CW118" t="str">
            <v>0</v>
          </cell>
          <cell r="CX118" t="str">
            <v>0</v>
          </cell>
          <cell r="CY118">
            <v>44588</v>
          </cell>
          <cell r="CZ118">
            <v>207779</v>
          </cell>
          <cell r="DA118">
            <v>0</v>
          </cell>
          <cell r="DB118">
            <v>0</v>
          </cell>
          <cell r="DC118">
            <v>207779</v>
          </cell>
        </row>
        <row r="119">
          <cell r="A119" t="str">
            <v>FS513</v>
          </cell>
          <cell r="B119" t="str">
            <v>Kuthala suresh</v>
          </cell>
          <cell r="C119" t="str">
            <v>Finance</v>
          </cell>
          <cell r="D119" t="str">
            <v>17-02-2025</v>
          </cell>
          <cell r="E119" t="str">
            <v>N.A</v>
          </cell>
          <cell r="F119" t="str">
            <v>2025-10</v>
          </cell>
          <cell r="G119" t="str">
            <v>Success</v>
          </cell>
          <cell r="H119" t="str">
            <v>N.A</v>
          </cell>
          <cell r="I119" t="str">
            <v/>
          </cell>
          <cell r="J119" t="str">
            <v>30</v>
          </cell>
          <cell r="K119" t="str">
            <v>0</v>
          </cell>
          <cell r="L119" t="str">
            <v>0</v>
          </cell>
          <cell r="M119" t="str">
            <v>N.A</v>
          </cell>
          <cell r="N119" t="str">
            <v>0</v>
          </cell>
          <cell r="O119" t="str">
            <v>0</v>
          </cell>
          <cell r="P119" t="str">
            <v>30</v>
          </cell>
          <cell r="Q119" t="str">
            <v>30</v>
          </cell>
          <cell r="R119" t="str">
            <v>Manager - Finance</v>
          </cell>
          <cell r="S119" t="str">
            <v>AR, AP-IN</v>
          </cell>
          <cell r="T119" t="str">
            <v>Hyderabad</v>
          </cell>
          <cell r="U119" t="str">
            <v xml:space="preserve">Telangana </v>
          </cell>
          <cell r="V119" t="str">
            <v>33069435075</v>
          </cell>
          <cell r="W119" t="str">
            <v>STATE BANK OF INDIA</v>
          </cell>
          <cell r="X119" t="str">
            <v>118344</v>
          </cell>
          <cell r="Y119" t="str">
            <v>DDCPK6252E</v>
          </cell>
          <cell r="Z119" t="str">
            <v>48058</v>
          </cell>
          <cell r="AA119">
            <v>48058</v>
          </cell>
          <cell r="AB119">
            <v>0</v>
          </cell>
          <cell r="AC119">
            <v>19223</v>
          </cell>
          <cell r="AD119">
            <v>19223</v>
          </cell>
          <cell r="AE119">
            <v>0</v>
          </cell>
          <cell r="AF119">
            <v>5286</v>
          </cell>
          <cell r="AG119">
            <v>5286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10000</v>
          </cell>
          <cell r="AM119">
            <v>10000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35777</v>
          </cell>
          <cell r="AS119">
            <v>35777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 t="str">
            <v>0</v>
          </cell>
          <cell r="BF119">
            <v>0</v>
          </cell>
          <cell r="BG119">
            <v>0</v>
          </cell>
          <cell r="BH119">
            <v>118344</v>
          </cell>
          <cell r="BI119">
            <v>118344</v>
          </cell>
          <cell r="BJ119">
            <v>0</v>
          </cell>
          <cell r="BK119">
            <v>0</v>
          </cell>
          <cell r="BL119">
            <v>7087</v>
          </cell>
          <cell r="BM119">
            <v>200</v>
          </cell>
          <cell r="BN119">
            <v>0</v>
          </cell>
          <cell r="BO119">
            <v>0</v>
          </cell>
          <cell r="BP119">
            <v>1800</v>
          </cell>
          <cell r="BQ119">
            <v>0</v>
          </cell>
          <cell r="BR119">
            <v>1800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 t="str">
            <v>0</v>
          </cell>
          <cell r="BZ119" t="str">
            <v>0</v>
          </cell>
          <cell r="CA119" t="str">
            <v>0</v>
          </cell>
          <cell r="CB119" t="str">
            <v>0</v>
          </cell>
          <cell r="CC119" t="str">
            <v>0</v>
          </cell>
          <cell r="CD119" t="str">
            <v>0</v>
          </cell>
          <cell r="CE119" t="str">
            <v>0</v>
          </cell>
          <cell r="CF119" t="str">
            <v>0</v>
          </cell>
          <cell r="CG119" t="str">
            <v>0</v>
          </cell>
          <cell r="CH119" t="str">
            <v>0</v>
          </cell>
          <cell r="CI119" t="str">
            <v>0</v>
          </cell>
          <cell r="CJ119" t="str">
            <v>0</v>
          </cell>
          <cell r="CK119" t="str">
            <v>0</v>
          </cell>
          <cell r="CL119" t="str">
            <v>0</v>
          </cell>
          <cell r="CM119" t="str">
            <v>0</v>
          </cell>
          <cell r="CN119" t="str">
            <v>0</v>
          </cell>
          <cell r="CO119" t="str">
            <v>0</v>
          </cell>
          <cell r="CP119" t="str">
            <v>0</v>
          </cell>
          <cell r="CQ119" t="str">
            <v>0</v>
          </cell>
          <cell r="CR119" t="str">
            <v>0</v>
          </cell>
          <cell r="CS119" t="str">
            <v>0</v>
          </cell>
          <cell r="CT119" t="str">
            <v>0</v>
          </cell>
          <cell r="CU119" t="str">
            <v>0</v>
          </cell>
          <cell r="CV119" t="str">
            <v>0</v>
          </cell>
          <cell r="CW119" t="str">
            <v>0</v>
          </cell>
          <cell r="CX119" t="str">
            <v>0</v>
          </cell>
          <cell r="CY119">
            <v>9087</v>
          </cell>
          <cell r="CZ119">
            <v>109257</v>
          </cell>
          <cell r="DA119">
            <v>0</v>
          </cell>
          <cell r="DB119">
            <v>0</v>
          </cell>
          <cell r="DC119">
            <v>109257</v>
          </cell>
        </row>
        <row r="120">
          <cell r="A120" t="str">
            <v>FS514</v>
          </cell>
          <cell r="B120" t="str">
            <v>Medishetty Rohith</v>
          </cell>
          <cell r="C120" t="str">
            <v>Talent Acquisition</v>
          </cell>
          <cell r="D120" t="str">
            <v>18-02-2025</v>
          </cell>
          <cell r="E120" t="str">
            <v>N.A</v>
          </cell>
          <cell r="F120" t="str">
            <v>2025-10</v>
          </cell>
          <cell r="G120" t="str">
            <v>Success</v>
          </cell>
          <cell r="H120" t="str">
            <v>N.A</v>
          </cell>
          <cell r="I120" t="str">
            <v/>
          </cell>
          <cell r="J120" t="str">
            <v>30</v>
          </cell>
          <cell r="K120" t="str">
            <v>0</v>
          </cell>
          <cell r="L120" t="str">
            <v>0</v>
          </cell>
          <cell r="M120" t="str">
            <v>N.A</v>
          </cell>
          <cell r="N120" t="str">
            <v>0</v>
          </cell>
          <cell r="O120" t="str">
            <v>0</v>
          </cell>
          <cell r="P120" t="str">
            <v>30</v>
          </cell>
          <cell r="Q120" t="str">
            <v>30</v>
          </cell>
          <cell r="R120" t="str">
            <v>Senior Technical Recruiter</v>
          </cell>
          <cell r="S120" t="str">
            <v>Recruitment-IN</v>
          </cell>
          <cell r="T120" t="str">
            <v>Hyderabad</v>
          </cell>
          <cell r="U120" t="str">
            <v xml:space="preserve">Telangana </v>
          </cell>
          <cell r="V120" t="str">
            <v>50100440374505</v>
          </cell>
          <cell r="W120" t="str">
            <v>HDFC BANK</v>
          </cell>
          <cell r="X120" t="str">
            <v>62367</v>
          </cell>
          <cell r="Y120" t="str">
            <v>EHLPR0963P</v>
          </cell>
          <cell r="Z120" t="str">
            <v>21667</v>
          </cell>
          <cell r="AA120">
            <v>21667</v>
          </cell>
          <cell r="AB120">
            <v>0</v>
          </cell>
          <cell r="AC120">
            <v>8667</v>
          </cell>
          <cell r="AD120">
            <v>8667</v>
          </cell>
          <cell r="AE120">
            <v>0</v>
          </cell>
          <cell r="AF120">
            <v>2383</v>
          </cell>
          <cell r="AG120">
            <v>2383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5417</v>
          </cell>
          <cell r="AM120">
            <v>5417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14233</v>
          </cell>
          <cell r="AS120">
            <v>14233</v>
          </cell>
          <cell r="AT120">
            <v>0</v>
          </cell>
          <cell r="AU120">
            <v>0</v>
          </cell>
          <cell r="AV120">
            <v>0</v>
          </cell>
          <cell r="AW120">
            <v>10000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 t="str">
            <v>0</v>
          </cell>
          <cell r="BF120">
            <v>0</v>
          </cell>
          <cell r="BG120">
            <v>10000</v>
          </cell>
          <cell r="BH120">
            <v>62367</v>
          </cell>
          <cell r="BI120">
            <v>62367</v>
          </cell>
          <cell r="BJ120">
            <v>0</v>
          </cell>
          <cell r="BK120">
            <v>0</v>
          </cell>
          <cell r="BL120">
            <v>0</v>
          </cell>
          <cell r="BM120">
            <v>200</v>
          </cell>
          <cell r="BN120">
            <v>0</v>
          </cell>
          <cell r="BO120">
            <v>0</v>
          </cell>
          <cell r="BP120">
            <v>1800</v>
          </cell>
          <cell r="BQ120">
            <v>0</v>
          </cell>
          <cell r="BR120">
            <v>1800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 t="str">
            <v>0</v>
          </cell>
          <cell r="BZ120" t="str">
            <v>0</v>
          </cell>
          <cell r="CA120" t="str">
            <v>0</v>
          </cell>
          <cell r="CB120" t="str">
            <v>0</v>
          </cell>
          <cell r="CC120" t="str">
            <v>0</v>
          </cell>
          <cell r="CD120" t="str">
            <v>0</v>
          </cell>
          <cell r="CE120" t="str">
            <v>0</v>
          </cell>
          <cell r="CF120" t="str">
            <v>0</v>
          </cell>
          <cell r="CG120" t="str">
            <v>0</v>
          </cell>
          <cell r="CH120" t="str">
            <v>0</v>
          </cell>
          <cell r="CI120" t="str">
            <v>0</v>
          </cell>
          <cell r="CJ120" t="str">
            <v>0</v>
          </cell>
          <cell r="CK120" t="str">
            <v>0</v>
          </cell>
          <cell r="CL120" t="str">
            <v>0</v>
          </cell>
          <cell r="CM120" t="str">
            <v>0</v>
          </cell>
          <cell r="CN120" t="str">
            <v>0</v>
          </cell>
          <cell r="CO120" t="str">
            <v>0</v>
          </cell>
          <cell r="CP120" t="str">
            <v>0</v>
          </cell>
          <cell r="CQ120" t="str">
            <v>0</v>
          </cell>
          <cell r="CR120" t="str">
            <v>0</v>
          </cell>
          <cell r="CS120" t="str">
            <v>0</v>
          </cell>
          <cell r="CT120" t="str">
            <v>0</v>
          </cell>
          <cell r="CU120" t="str">
            <v>600</v>
          </cell>
          <cell r="CV120" t="str">
            <v>0</v>
          </cell>
          <cell r="CW120" t="str">
            <v>600</v>
          </cell>
          <cell r="CX120" t="str">
            <v>0</v>
          </cell>
          <cell r="CY120">
            <v>2600</v>
          </cell>
          <cell r="CZ120">
            <v>59767</v>
          </cell>
          <cell r="DA120">
            <v>0</v>
          </cell>
          <cell r="DB120">
            <v>0</v>
          </cell>
          <cell r="DC120">
            <v>59767</v>
          </cell>
        </row>
        <row r="121">
          <cell r="A121" t="str">
            <v>FS516</v>
          </cell>
          <cell r="B121" t="str">
            <v>Mantina Akhil Deepak</v>
          </cell>
          <cell r="C121" t="str">
            <v>Product Engineering</v>
          </cell>
          <cell r="D121" t="str">
            <v>18-02-2025</v>
          </cell>
          <cell r="E121" t="str">
            <v>N.A</v>
          </cell>
          <cell r="F121" t="str">
            <v>2025-10</v>
          </cell>
          <cell r="G121" t="str">
            <v>Success</v>
          </cell>
          <cell r="H121" t="str">
            <v>N.A</v>
          </cell>
          <cell r="I121" t="str">
            <v/>
          </cell>
          <cell r="J121" t="str">
            <v>30</v>
          </cell>
          <cell r="K121" t="str">
            <v>0</v>
          </cell>
          <cell r="L121" t="str">
            <v>0</v>
          </cell>
          <cell r="M121" t="str">
            <v>N.A</v>
          </cell>
          <cell r="N121" t="str">
            <v>0</v>
          </cell>
          <cell r="O121" t="str">
            <v>0</v>
          </cell>
          <cell r="P121" t="str">
            <v>30</v>
          </cell>
          <cell r="Q121" t="str">
            <v>30</v>
          </cell>
          <cell r="R121" t="str">
            <v>Senior Software Engineer</v>
          </cell>
          <cell r="S121" t="str">
            <v>Delivery-IN</v>
          </cell>
          <cell r="T121" t="str">
            <v>Hyderabad</v>
          </cell>
          <cell r="U121" t="str">
            <v xml:space="preserve">Telangana </v>
          </cell>
          <cell r="V121" t="str">
            <v>42029299062</v>
          </cell>
          <cell r="W121" t="str">
            <v>STATE BANK OF INDIA</v>
          </cell>
          <cell r="X121" t="str">
            <v>153907</v>
          </cell>
          <cell r="Y121" t="str">
            <v>CWQPM7318K</v>
          </cell>
          <cell r="Z121" t="str">
            <v>64667</v>
          </cell>
          <cell r="AA121">
            <v>64667</v>
          </cell>
          <cell r="AB121">
            <v>0</v>
          </cell>
          <cell r="AC121">
            <v>25867</v>
          </cell>
          <cell r="AD121">
            <v>25867</v>
          </cell>
          <cell r="AE121">
            <v>0</v>
          </cell>
          <cell r="AF121">
            <v>7113</v>
          </cell>
          <cell r="AG121">
            <v>7113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10000</v>
          </cell>
          <cell r="AM121">
            <v>10000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46260</v>
          </cell>
          <cell r="AS121">
            <v>46260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 t="str">
            <v>0</v>
          </cell>
          <cell r="BF121">
            <v>0</v>
          </cell>
          <cell r="BG121">
            <v>0</v>
          </cell>
          <cell r="BH121">
            <v>153907</v>
          </cell>
          <cell r="BI121">
            <v>153907</v>
          </cell>
          <cell r="BJ121">
            <v>0</v>
          </cell>
          <cell r="BK121">
            <v>0</v>
          </cell>
          <cell r="BL121">
            <v>14535</v>
          </cell>
          <cell r="BM121">
            <v>200</v>
          </cell>
          <cell r="BN121">
            <v>0</v>
          </cell>
          <cell r="BO121">
            <v>0</v>
          </cell>
          <cell r="BP121">
            <v>7760</v>
          </cell>
          <cell r="BQ121">
            <v>0</v>
          </cell>
          <cell r="BR121">
            <v>7760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 t="str">
            <v>0</v>
          </cell>
          <cell r="BZ121" t="str">
            <v>0</v>
          </cell>
          <cell r="CA121" t="str">
            <v>0</v>
          </cell>
          <cell r="CB121" t="str">
            <v>0</v>
          </cell>
          <cell r="CC121" t="str">
            <v>0</v>
          </cell>
          <cell r="CD121" t="str">
            <v>0</v>
          </cell>
          <cell r="CE121" t="str">
            <v>0</v>
          </cell>
          <cell r="CF121" t="str">
            <v>0</v>
          </cell>
          <cell r="CG121" t="str">
            <v>0</v>
          </cell>
          <cell r="CH121" t="str">
            <v>0</v>
          </cell>
          <cell r="CI121" t="str">
            <v>0</v>
          </cell>
          <cell r="CJ121" t="str">
            <v>0</v>
          </cell>
          <cell r="CK121" t="str">
            <v>0</v>
          </cell>
          <cell r="CL121" t="str">
            <v>0</v>
          </cell>
          <cell r="CM121" t="str">
            <v>0</v>
          </cell>
          <cell r="CN121" t="str">
            <v>0</v>
          </cell>
          <cell r="CO121" t="str">
            <v>0</v>
          </cell>
          <cell r="CP121" t="str">
            <v>0</v>
          </cell>
          <cell r="CQ121" t="str">
            <v>0</v>
          </cell>
          <cell r="CR121" t="str">
            <v>0</v>
          </cell>
          <cell r="CS121" t="str">
            <v>0</v>
          </cell>
          <cell r="CT121" t="str">
            <v>0</v>
          </cell>
          <cell r="CU121" t="str">
            <v>0</v>
          </cell>
          <cell r="CV121" t="str">
            <v>0</v>
          </cell>
          <cell r="CW121" t="str">
            <v>0</v>
          </cell>
          <cell r="CX121" t="str">
            <v>0</v>
          </cell>
          <cell r="CY121">
            <v>22495</v>
          </cell>
          <cell r="CZ121">
            <v>131412</v>
          </cell>
          <cell r="DA121">
            <v>0</v>
          </cell>
          <cell r="DB121">
            <v>0</v>
          </cell>
          <cell r="DC121">
            <v>131412</v>
          </cell>
        </row>
        <row r="122">
          <cell r="A122" t="str">
            <v>FS517</v>
          </cell>
          <cell r="B122" t="str">
            <v>Annapureddy Rajeswari</v>
          </cell>
          <cell r="C122" t="str">
            <v>Product Engineering</v>
          </cell>
          <cell r="D122" t="str">
            <v>03-03-2025</v>
          </cell>
          <cell r="E122" t="str">
            <v>N.A</v>
          </cell>
          <cell r="F122" t="str">
            <v>2025-10</v>
          </cell>
          <cell r="G122" t="str">
            <v>Success</v>
          </cell>
          <cell r="H122" t="str">
            <v>N.A</v>
          </cell>
          <cell r="I122" t="str">
            <v/>
          </cell>
          <cell r="J122" t="str">
            <v>30</v>
          </cell>
          <cell r="K122" t="str">
            <v>0</v>
          </cell>
          <cell r="L122" t="str">
            <v>0</v>
          </cell>
          <cell r="M122" t="str">
            <v>N.A</v>
          </cell>
          <cell r="N122" t="str">
            <v>0</v>
          </cell>
          <cell r="O122" t="str">
            <v>0</v>
          </cell>
          <cell r="P122" t="str">
            <v>30</v>
          </cell>
          <cell r="Q122" t="str">
            <v>30</v>
          </cell>
          <cell r="R122" t="str">
            <v>Associate software engineer</v>
          </cell>
          <cell r="S122" t="str">
            <v>Product Engineering</v>
          </cell>
          <cell r="T122" t="str">
            <v>Hyderabad</v>
          </cell>
          <cell r="U122" t="str">
            <v xml:space="preserve">Telangana </v>
          </cell>
          <cell r="V122" t="str">
            <v>50100797179881</v>
          </cell>
          <cell r="W122" t="str">
            <v>HDFC BANK</v>
          </cell>
          <cell r="X122" t="str">
            <v>24320</v>
          </cell>
          <cell r="Y122" t="str">
            <v>DSOPA1692F</v>
          </cell>
          <cell r="Z122" t="str">
            <v>10448</v>
          </cell>
          <cell r="AA122">
            <v>10448</v>
          </cell>
          <cell r="AB122">
            <v>0</v>
          </cell>
          <cell r="AC122">
            <v>4179</v>
          </cell>
          <cell r="AD122">
            <v>4179</v>
          </cell>
          <cell r="AE122">
            <v>0</v>
          </cell>
          <cell r="AF122">
            <v>1149</v>
          </cell>
          <cell r="AG122">
            <v>1149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2606</v>
          </cell>
          <cell r="AM122">
            <v>2606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5938</v>
          </cell>
          <cell r="AS122">
            <v>5938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 t="str">
            <v>0</v>
          </cell>
          <cell r="BF122">
            <v>0</v>
          </cell>
          <cell r="BG122">
            <v>0</v>
          </cell>
          <cell r="BH122">
            <v>24320</v>
          </cell>
          <cell r="BI122">
            <v>24320</v>
          </cell>
          <cell r="BJ122">
            <v>0</v>
          </cell>
          <cell r="BK122">
            <v>0</v>
          </cell>
          <cell r="BL122">
            <v>0</v>
          </cell>
          <cell r="BM122">
            <v>200</v>
          </cell>
          <cell r="BN122">
            <v>0</v>
          </cell>
          <cell r="BO122">
            <v>0</v>
          </cell>
          <cell r="BP122">
            <v>1800</v>
          </cell>
          <cell r="BQ122">
            <v>0</v>
          </cell>
          <cell r="BR122">
            <v>1800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 t="str">
            <v>0</v>
          </cell>
          <cell r="BZ122" t="str">
            <v>0</v>
          </cell>
          <cell r="CA122" t="str">
            <v>0</v>
          </cell>
          <cell r="CB122" t="str">
            <v>0</v>
          </cell>
          <cell r="CC122" t="str">
            <v>0</v>
          </cell>
          <cell r="CD122" t="str">
            <v>0</v>
          </cell>
          <cell r="CE122" t="str">
            <v>0</v>
          </cell>
          <cell r="CF122" t="str">
            <v>0</v>
          </cell>
          <cell r="CG122" t="str">
            <v>0</v>
          </cell>
          <cell r="CH122" t="str">
            <v>0</v>
          </cell>
          <cell r="CI122" t="str">
            <v>0</v>
          </cell>
          <cell r="CJ122" t="str">
            <v>0</v>
          </cell>
          <cell r="CK122" t="str">
            <v>0</v>
          </cell>
          <cell r="CL122" t="str">
            <v>0</v>
          </cell>
          <cell r="CM122" t="str">
            <v>0</v>
          </cell>
          <cell r="CN122" t="str">
            <v>0</v>
          </cell>
          <cell r="CO122" t="str">
            <v>0</v>
          </cell>
          <cell r="CP122" t="str">
            <v>0</v>
          </cell>
          <cell r="CQ122" t="str">
            <v>0</v>
          </cell>
          <cell r="CR122" t="str">
            <v>0</v>
          </cell>
          <cell r="CS122" t="str">
            <v>0</v>
          </cell>
          <cell r="CT122" t="str">
            <v>0</v>
          </cell>
          <cell r="CU122" t="str">
            <v>0</v>
          </cell>
          <cell r="CV122" t="str">
            <v>0</v>
          </cell>
          <cell r="CW122" t="str">
            <v>0</v>
          </cell>
          <cell r="CX122" t="str">
            <v>0</v>
          </cell>
          <cell r="CY122">
            <v>2000</v>
          </cell>
          <cell r="CZ122">
            <v>22320</v>
          </cell>
          <cell r="DA122">
            <v>0</v>
          </cell>
          <cell r="DB122">
            <v>0</v>
          </cell>
          <cell r="DC122">
            <v>22320</v>
          </cell>
        </row>
        <row r="123">
          <cell r="A123" t="str">
            <v>FS518</v>
          </cell>
          <cell r="B123" t="str">
            <v>Goriparthi Naga Sreelatha</v>
          </cell>
          <cell r="C123" t="str">
            <v>Product Engineering</v>
          </cell>
          <cell r="D123" t="str">
            <v>03-03-2025</v>
          </cell>
          <cell r="E123" t="str">
            <v>N.A</v>
          </cell>
          <cell r="F123" t="str">
            <v>2025-10</v>
          </cell>
          <cell r="G123" t="str">
            <v>Success</v>
          </cell>
          <cell r="H123" t="str">
            <v>N.A</v>
          </cell>
          <cell r="I123" t="str">
            <v/>
          </cell>
          <cell r="J123" t="str">
            <v>30</v>
          </cell>
          <cell r="K123" t="str">
            <v>0</v>
          </cell>
          <cell r="L123" t="str">
            <v>0</v>
          </cell>
          <cell r="M123" t="str">
            <v>N.A</v>
          </cell>
          <cell r="N123" t="str">
            <v>0</v>
          </cell>
          <cell r="O123" t="str">
            <v>0</v>
          </cell>
          <cell r="P123" t="str">
            <v>30</v>
          </cell>
          <cell r="Q123" t="str">
            <v>30</v>
          </cell>
          <cell r="R123" t="str">
            <v>Associate software engineer</v>
          </cell>
          <cell r="S123" t="str">
            <v>Product Engineering</v>
          </cell>
          <cell r="T123" t="str">
            <v>Hyderabad</v>
          </cell>
          <cell r="U123" t="str">
            <v xml:space="preserve">Telangana </v>
          </cell>
          <cell r="V123" t="str">
            <v>50100527071552</v>
          </cell>
          <cell r="W123" t="str">
            <v>HDFC BANK</v>
          </cell>
          <cell r="X123" t="str">
            <v>24320</v>
          </cell>
          <cell r="Y123" t="str">
            <v>PGEPS7611J</v>
          </cell>
          <cell r="Z123" t="str">
            <v>10448</v>
          </cell>
          <cell r="AA123">
            <v>10448</v>
          </cell>
          <cell r="AB123">
            <v>0</v>
          </cell>
          <cell r="AC123">
            <v>4179</v>
          </cell>
          <cell r="AD123">
            <v>4179</v>
          </cell>
          <cell r="AE123">
            <v>0</v>
          </cell>
          <cell r="AF123">
            <v>1149</v>
          </cell>
          <cell r="AG123">
            <v>1149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2606</v>
          </cell>
          <cell r="AM123">
            <v>2606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5938</v>
          </cell>
          <cell r="AS123">
            <v>5938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 t="str">
            <v>0</v>
          </cell>
          <cell r="BF123">
            <v>0</v>
          </cell>
          <cell r="BG123">
            <v>0</v>
          </cell>
          <cell r="BH123">
            <v>24320</v>
          </cell>
          <cell r="BI123">
            <v>24320</v>
          </cell>
          <cell r="BJ123">
            <v>0</v>
          </cell>
          <cell r="BK123">
            <v>0</v>
          </cell>
          <cell r="BL123">
            <v>0</v>
          </cell>
          <cell r="BM123">
            <v>200</v>
          </cell>
          <cell r="BN123">
            <v>0</v>
          </cell>
          <cell r="BO123">
            <v>0</v>
          </cell>
          <cell r="BP123">
            <v>1800</v>
          </cell>
          <cell r="BQ123">
            <v>0</v>
          </cell>
          <cell r="BR123">
            <v>1800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str">
            <v>0</v>
          </cell>
          <cell r="BZ123" t="str">
            <v>0</v>
          </cell>
          <cell r="CA123" t="str">
            <v>0</v>
          </cell>
          <cell r="CB123" t="str">
            <v>0</v>
          </cell>
          <cell r="CC123" t="str">
            <v>0</v>
          </cell>
          <cell r="CD123" t="str">
            <v>0</v>
          </cell>
          <cell r="CE123" t="str">
            <v>0</v>
          </cell>
          <cell r="CF123" t="str">
            <v>0</v>
          </cell>
          <cell r="CG123" t="str">
            <v>0</v>
          </cell>
          <cell r="CH123" t="str">
            <v>0</v>
          </cell>
          <cell r="CI123" t="str">
            <v>0</v>
          </cell>
          <cell r="CJ123" t="str">
            <v>0</v>
          </cell>
          <cell r="CK123" t="str">
            <v>0</v>
          </cell>
          <cell r="CL123" t="str">
            <v>0</v>
          </cell>
          <cell r="CM123" t="str">
            <v>0</v>
          </cell>
          <cell r="CN123" t="str">
            <v>0</v>
          </cell>
          <cell r="CO123" t="str">
            <v>0</v>
          </cell>
          <cell r="CP123" t="str">
            <v>0</v>
          </cell>
          <cell r="CQ123" t="str">
            <v>0</v>
          </cell>
          <cell r="CR123" t="str">
            <v>0</v>
          </cell>
          <cell r="CS123" t="str">
            <v>0</v>
          </cell>
          <cell r="CT123" t="str">
            <v>0</v>
          </cell>
          <cell r="CU123" t="str">
            <v>0</v>
          </cell>
          <cell r="CV123" t="str">
            <v>0</v>
          </cell>
          <cell r="CW123" t="str">
            <v>0</v>
          </cell>
          <cell r="CX123" t="str">
            <v>0</v>
          </cell>
          <cell r="CY123">
            <v>2000</v>
          </cell>
          <cell r="CZ123">
            <v>22320</v>
          </cell>
          <cell r="DA123">
            <v>0</v>
          </cell>
          <cell r="DB123">
            <v>0</v>
          </cell>
          <cell r="DC123">
            <v>22320</v>
          </cell>
        </row>
        <row r="124">
          <cell r="A124" t="str">
            <v>FS519</v>
          </cell>
          <cell r="B124" t="str">
            <v>CHETANA ANANT NAIK</v>
          </cell>
          <cell r="C124" t="str">
            <v>Product Engineering</v>
          </cell>
          <cell r="D124" t="str">
            <v>03-03-2025</v>
          </cell>
          <cell r="E124" t="str">
            <v>N.A</v>
          </cell>
          <cell r="F124" t="str">
            <v>2025-10</v>
          </cell>
          <cell r="G124" t="str">
            <v>Success</v>
          </cell>
          <cell r="H124" t="str">
            <v>N.A</v>
          </cell>
          <cell r="I124" t="str">
            <v/>
          </cell>
          <cell r="J124" t="str">
            <v>30</v>
          </cell>
          <cell r="K124" t="str">
            <v>0</v>
          </cell>
          <cell r="L124" t="str">
            <v>0</v>
          </cell>
          <cell r="M124" t="str">
            <v>N.A</v>
          </cell>
          <cell r="N124" t="str">
            <v>0</v>
          </cell>
          <cell r="O124" t="str">
            <v>0</v>
          </cell>
          <cell r="P124" t="str">
            <v>30</v>
          </cell>
          <cell r="Q124" t="str">
            <v>30</v>
          </cell>
          <cell r="R124" t="str">
            <v>Associate software engineer</v>
          </cell>
          <cell r="S124" t="str">
            <v>Product Engineering</v>
          </cell>
          <cell r="T124" t="str">
            <v>Hyderabad</v>
          </cell>
          <cell r="U124" t="str">
            <v xml:space="preserve">Telangana </v>
          </cell>
          <cell r="V124" t="str">
            <v>50100797179829</v>
          </cell>
          <cell r="W124" t="str">
            <v>HDFC BANK</v>
          </cell>
          <cell r="X124" t="str">
            <v>24320</v>
          </cell>
          <cell r="Y124" t="str">
            <v>CWXPN2020G</v>
          </cell>
          <cell r="Z124" t="str">
            <v>10448</v>
          </cell>
          <cell r="AA124">
            <v>10448</v>
          </cell>
          <cell r="AB124">
            <v>0</v>
          </cell>
          <cell r="AC124">
            <v>4179</v>
          </cell>
          <cell r="AD124">
            <v>4179</v>
          </cell>
          <cell r="AE124">
            <v>0</v>
          </cell>
          <cell r="AF124">
            <v>1149</v>
          </cell>
          <cell r="AG124">
            <v>1149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2606</v>
          </cell>
          <cell r="AM124">
            <v>2606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5938</v>
          </cell>
          <cell r="AS124">
            <v>5938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 t="str">
            <v>0</v>
          </cell>
          <cell r="BF124">
            <v>0</v>
          </cell>
          <cell r="BG124">
            <v>0</v>
          </cell>
          <cell r="BH124">
            <v>24320</v>
          </cell>
          <cell r="BI124">
            <v>24320</v>
          </cell>
          <cell r="BJ124">
            <v>0</v>
          </cell>
          <cell r="BK124">
            <v>0</v>
          </cell>
          <cell r="BL124">
            <v>0</v>
          </cell>
          <cell r="BM124">
            <v>200</v>
          </cell>
          <cell r="BN124">
            <v>0</v>
          </cell>
          <cell r="BO124">
            <v>0</v>
          </cell>
          <cell r="BP124">
            <v>1800</v>
          </cell>
          <cell r="BQ124">
            <v>0</v>
          </cell>
          <cell r="BR124">
            <v>1800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str">
            <v>0</v>
          </cell>
          <cell r="BZ124" t="str">
            <v>0</v>
          </cell>
          <cell r="CA124" t="str">
            <v>0</v>
          </cell>
          <cell r="CB124" t="str">
            <v>0</v>
          </cell>
          <cell r="CC124" t="str">
            <v>0</v>
          </cell>
          <cell r="CD124" t="str">
            <v>0</v>
          </cell>
          <cell r="CE124" t="str">
            <v>0</v>
          </cell>
          <cell r="CF124" t="str">
            <v>0</v>
          </cell>
          <cell r="CG124" t="str">
            <v>0</v>
          </cell>
          <cell r="CH124" t="str">
            <v>0</v>
          </cell>
          <cell r="CI124" t="str">
            <v>0</v>
          </cell>
          <cell r="CJ124" t="str">
            <v>0</v>
          </cell>
          <cell r="CK124" t="str">
            <v>0</v>
          </cell>
          <cell r="CL124" t="str">
            <v>0</v>
          </cell>
          <cell r="CM124" t="str">
            <v>0</v>
          </cell>
          <cell r="CN124" t="str">
            <v>0</v>
          </cell>
          <cell r="CO124" t="str">
            <v>0</v>
          </cell>
          <cell r="CP124" t="str">
            <v>0</v>
          </cell>
          <cell r="CQ124" t="str">
            <v>0</v>
          </cell>
          <cell r="CR124" t="str">
            <v>0</v>
          </cell>
          <cell r="CS124" t="str">
            <v>0</v>
          </cell>
          <cell r="CT124" t="str">
            <v>0</v>
          </cell>
          <cell r="CU124" t="str">
            <v>0</v>
          </cell>
          <cell r="CV124" t="str">
            <v>0</v>
          </cell>
          <cell r="CW124" t="str">
            <v>0</v>
          </cell>
          <cell r="CX124" t="str">
            <v>0</v>
          </cell>
          <cell r="CY124">
            <v>2000</v>
          </cell>
          <cell r="CZ124">
            <v>22320</v>
          </cell>
          <cell r="DA124">
            <v>0</v>
          </cell>
          <cell r="DB124">
            <v>0</v>
          </cell>
          <cell r="DC124">
            <v>22320</v>
          </cell>
        </row>
        <row r="125">
          <cell r="A125" t="str">
            <v>FS520</v>
          </cell>
          <cell r="B125" t="str">
            <v>Gayatri Tiwari</v>
          </cell>
          <cell r="C125" t="str">
            <v>Admin</v>
          </cell>
          <cell r="D125" t="str">
            <v>05-03-2025</v>
          </cell>
          <cell r="E125" t="str">
            <v>27-09-2025</v>
          </cell>
          <cell r="F125" t="str">
            <v>2025-10</v>
          </cell>
          <cell r="G125" t="str">
            <v>Success</v>
          </cell>
          <cell r="H125" t="str">
            <v>N.A</v>
          </cell>
          <cell r="I125" t="str">
            <v>Hold Salary</v>
          </cell>
          <cell r="J125" t="str">
            <v>30</v>
          </cell>
          <cell r="K125" t="str">
            <v>0</v>
          </cell>
          <cell r="L125" t="str">
            <v>0</v>
          </cell>
          <cell r="M125" t="str">
            <v>N.A</v>
          </cell>
          <cell r="N125" t="str">
            <v>0</v>
          </cell>
          <cell r="O125" t="str">
            <v>0</v>
          </cell>
          <cell r="P125" t="str">
            <v>2</v>
          </cell>
          <cell r="Q125" t="str">
            <v>2</v>
          </cell>
          <cell r="R125" t="str">
            <v>Front Desk Executive</v>
          </cell>
          <cell r="S125" t="str">
            <v>Support Function-IN</v>
          </cell>
          <cell r="T125" t="str">
            <v>Hyderabad</v>
          </cell>
          <cell r="U125" t="str">
            <v xml:space="preserve">Telangana </v>
          </cell>
          <cell r="V125" t="str">
            <v>50100797179918</v>
          </cell>
          <cell r="W125" t="str">
            <v>HDFC BANK</v>
          </cell>
          <cell r="X125" t="str">
            <v>42325</v>
          </cell>
          <cell r="Y125" t="str">
            <v>BZEPT9212M</v>
          </cell>
          <cell r="Z125" t="str">
            <v>17650</v>
          </cell>
          <cell r="AA125">
            <v>1177</v>
          </cell>
          <cell r="AB125">
            <v>0</v>
          </cell>
          <cell r="AC125">
            <v>7060</v>
          </cell>
          <cell r="AD125">
            <v>471</v>
          </cell>
          <cell r="AE125">
            <v>0</v>
          </cell>
          <cell r="AF125">
            <v>1942</v>
          </cell>
          <cell r="AG125">
            <v>129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4413</v>
          </cell>
          <cell r="AM125">
            <v>294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11260</v>
          </cell>
          <cell r="AS125">
            <v>751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 t="str">
            <v>0</v>
          </cell>
          <cell r="BF125">
            <v>0</v>
          </cell>
          <cell r="BG125">
            <v>0</v>
          </cell>
          <cell r="BH125">
            <v>2822</v>
          </cell>
          <cell r="BI125">
            <v>2822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141</v>
          </cell>
          <cell r="BQ125">
            <v>0</v>
          </cell>
          <cell r="BR125">
            <v>141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 t="str">
            <v>0</v>
          </cell>
          <cell r="BZ125" t="str">
            <v>0</v>
          </cell>
          <cell r="CA125" t="str">
            <v>0</v>
          </cell>
          <cell r="CB125" t="str">
            <v>0</v>
          </cell>
          <cell r="CC125" t="str">
            <v>0</v>
          </cell>
          <cell r="CD125" t="str">
            <v>0</v>
          </cell>
          <cell r="CE125" t="str">
            <v>0</v>
          </cell>
          <cell r="CF125" t="str">
            <v>0</v>
          </cell>
          <cell r="CG125" t="str">
            <v>0</v>
          </cell>
          <cell r="CH125" t="str">
            <v>0</v>
          </cell>
          <cell r="CI125" t="str">
            <v>0</v>
          </cell>
          <cell r="CJ125" t="str">
            <v>0</v>
          </cell>
          <cell r="CK125" t="str">
            <v>0</v>
          </cell>
          <cell r="CL125" t="str">
            <v>0</v>
          </cell>
          <cell r="CM125" t="str">
            <v>0</v>
          </cell>
          <cell r="CN125" t="str">
            <v>0</v>
          </cell>
          <cell r="CO125" t="str">
            <v>0</v>
          </cell>
          <cell r="CP125" t="str">
            <v>0</v>
          </cell>
          <cell r="CQ125" t="str">
            <v>0</v>
          </cell>
          <cell r="CR125" t="str">
            <v>0</v>
          </cell>
          <cell r="CS125" t="str">
            <v>0</v>
          </cell>
          <cell r="CT125" t="str">
            <v>0</v>
          </cell>
          <cell r="CU125" t="str">
            <v>0</v>
          </cell>
          <cell r="CV125" t="str">
            <v>0</v>
          </cell>
          <cell r="CW125" t="str">
            <v>0</v>
          </cell>
          <cell r="CX125" t="str">
            <v>0</v>
          </cell>
          <cell r="CY125">
            <v>141</v>
          </cell>
          <cell r="CZ125">
            <v>2681</v>
          </cell>
          <cell r="DA125">
            <v>0</v>
          </cell>
          <cell r="DB125">
            <v>0</v>
          </cell>
          <cell r="DC125">
            <v>2681</v>
          </cell>
        </row>
        <row r="126">
          <cell r="A126" t="str">
            <v>FS521</v>
          </cell>
          <cell r="B126" t="str">
            <v>Sumit Bhowmick</v>
          </cell>
          <cell r="C126" t="str">
            <v>AI/ML Delivery</v>
          </cell>
          <cell r="D126" t="str">
            <v>06-03-2025</v>
          </cell>
          <cell r="E126" t="str">
            <v>N.A</v>
          </cell>
          <cell r="F126" t="str">
            <v>2025-10</v>
          </cell>
          <cell r="G126" t="str">
            <v>Success</v>
          </cell>
          <cell r="H126" t="str">
            <v>N.A</v>
          </cell>
          <cell r="I126" t="str">
            <v/>
          </cell>
          <cell r="J126" t="str">
            <v>30</v>
          </cell>
          <cell r="K126" t="str">
            <v>0</v>
          </cell>
          <cell r="L126" t="str">
            <v>0</v>
          </cell>
          <cell r="M126" t="str">
            <v>N.A</v>
          </cell>
          <cell r="N126" t="str">
            <v>0</v>
          </cell>
          <cell r="O126" t="str">
            <v>0</v>
          </cell>
          <cell r="P126" t="str">
            <v>30</v>
          </cell>
          <cell r="Q126" t="str">
            <v>30</v>
          </cell>
          <cell r="R126" t="str">
            <v>Director-AI/ML Solutions</v>
          </cell>
          <cell r="S126" t="str">
            <v>AI/ML</v>
          </cell>
          <cell r="T126" t="str">
            <v>Hyderabad</v>
          </cell>
          <cell r="U126" t="str">
            <v xml:space="preserve">Telangana </v>
          </cell>
          <cell r="V126" t="str">
            <v>03341000047837</v>
          </cell>
          <cell r="W126" t="str">
            <v>HDFC BANK</v>
          </cell>
          <cell r="X126" t="str">
            <v>485707</v>
          </cell>
          <cell r="Y126" t="str">
            <v>AMTPB2190F</v>
          </cell>
          <cell r="Z126" t="str">
            <v>204079</v>
          </cell>
          <cell r="AA126">
            <v>204079</v>
          </cell>
          <cell r="AB126">
            <v>0</v>
          </cell>
          <cell r="AC126">
            <v>81631</v>
          </cell>
          <cell r="AD126">
            <v>81631</v>
          </cell>
          <cell r="AE126">
            <v>0</v>
          </cell>
          <cell r="AF126">
            <v>22449</v>
          </cell>
          <cell r="AG126">
            <v>22449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10000</v>
          </cell>
          <cell r="AM126">
            <v>10000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167548</v>
          </cell>
          <cell r="AS126">
            <v>167548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 t="str">
            <v>0</v>
          </cell>
          <cell r="BF126">
            <v>0</v>
          </cell>
          <cell r="BG126">
            <v>0</v>
          </cell>
          <cell r="BH126">
            <v>485707</v>
          </cell>
          <cell r="BI126">
            <v>485707</v>
          </cell>
          <cell r="BJ126">
            <v>0</v>
          </cell>
          <cell r="BK126">
            <v>0</v>
          </cell>
          <cell r="BL126">
            <v>124510</v>
          </cell>
          <cell r="BM126">
            <v>200</v>
          </cell>
          <cell r="BN126">
            <v>0</v>
          </cell>
          <cell r="BO126">
            <v>0</v>
          </cell>
          <cell r="BP126">
            <v>24489</v>
          </cell>
          <cell r="BQ126">
            <v>0</v>
          </cell>
          <cell r="BR126">
            <v>24489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str">
            <v>0</v>
          </cell>
          <cell r="BZ126" t="str">
            <v>0</v>
          </cell>
          <cell r="CA126" t="str">
            <v>0</v>
          </cell>
          <cell r="CB126" t="str">
            <v>0</v>
          </cell>
          <cell r="CC126" t="str">
            <v>0</v>
          </cell>
          <cell r="CD126" t="str">
            <v>0</v>
          </cell>
          <cell r="CE126" t="str">
            <v>0</v>
          </cell>
          <cell r="CF126" t="str">
            <v>0</v>
          </cell>
          <cell r="CG126" t="str">
            <v>0</v>
          </cell>
          <cell r="CH126" t="str">
            <v>0</v>
          </cell>
          <cell r="CI126" t="str">
            <v>0</v>
          </cell>
          <cell r="CJ126" t="str">
            <v>0</v>
          </cell>
          <cell r="CK126" t="str">
            <v>0</v>
          </cell>
          <cell r="CL126" t="str">
            <v>0</v>
          </cell>
          <cell r="CM126" t="str">
            <v>0</v>
          </cell>
          <cell r="CN126" t="str">
            <v>0</v>
          </cell>
          <cell r="CO126" t="str">
            <v>0</v>
          </cell>
          <cell r="CP126" t="str">
            <v>0</v>
          </cell>
          <cell r="CQ126" t="str">
            <v>0</v>
          </cell>
          <cell r="CR126" t="str">
            <v>0</v>
          </cell>
          <cell r="CS126" t="str">
            <v>0</v>
          </cell>
          <cell r="CT126" t="str">
            <v>0</v>
          </cell>
          <cell r="CU126" t="str">
            <v>0</v>
          </cell>
          <cell r="CV126" t="str">
            <v>0</v>
          </cell>
          <cell r="CW126" t="str">
            <v>0</v>
          </cell>
          <cell r="CX126" t="str">
            <v>0</v>
          </cell>
          <cell r="CY126">
            <v>149199</v>
          </cell>
          <cell r="CZ126">
            <v>336508</v>
          </cell>
          <cell r="DA126">
            <v>0</v>
          </cell>
          <cell r="DB126">
            <v>0</v>
          </cell>
          <cell r="DC126">
            <v>336508</v>
          </cell>
        </row>
        <row r="127">
          <cell r="A127" t="str">
            <v>FS524</v>
          </cell>
          <cell r="B127" t="str">
            <v>Puli siddhartha</v>
          </cell>
          <cell r="C127" t="str">
            <v>Product Engineering</v>
          </cell>
          <cell r="D127" t="str">
            <v>14-03-2025</v>
          </cell>
          <cell r="E127" t="str">
            <v>N.A</v>
          </cell>
          <cell r="F127" t="str">
            <v>2025-10</v>
          </cell>
          <cell r="G127" t="str">
            <v>Success</v>
          </cell>
          <cell r="H127" t="str">
            <v>N.A</v>
          </cell>
          <cell r="I127" t="str">
            <v/>
          </cell>
          <cell r="J127" t="str">
            <v>30</v>
          </cell>
          <cell r="K127" t="str">
            <v>0</v>
          </cell>
          <cell r="L127" t="str">
            <v>0</v>
          </cell>
          <cell r="M127" t="str">
            <v>N.A</v>
          </cell>
          <cell r="N127" t="str">
            <v>0</v>
          </cell>
          <cell r="O127" t="str">
            <v>0</v>
          </cell>
          <cell r="P127" t="str">
            <v>30</v>
          </cell>
          <cell r="Q127" t="str">
            <v>30</v>
          </cell>
          <cell r="R127" t="str">
            <v>Senior QA - Performance Test Engineer</v>
          </cell>
          <cell r="S127" t="str">
            <v>Delivery-IN</v>
          </cell>
          <cell r="T127" t="str">
            <v>Hyderabad</v>
          </cell>
          <cell r="U127" t="str">
            <v xml:space="preserve">Telangana </v>
          </cell>
          <cell r="V127" t="str">
            <v>50100718242427</v>
          </cell>
          <cell r="W127" t="str">
            <v>HDFC BANK</v>
          </cell>
          <cell r="X127" t="str">
            <v>155700</v>
          </cell>
          <cell r="Y127" t="str">
            <v>EUQPP7893L</v>
          </cell>
          <cell r="Z127" t="str">
            <v>63000</v>
          </cell>
          <cell r="AA127">
            <v>63000</v>
          </cell>
          <cell r="AB127">
            <v>0</v>
          </cell>
          <cell r="AC127">
            <v>25200</v>
          </cell>
          <cell r="AD127">
            <v>25200</v>
          </cell>
          <cell r="AE127">
            <v>0</v>
          </cell>
          <cell r="AF127">
            <v>6930</v>
          </cell>
          <cell r="AG127">
            <v>6930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10000</v>
          </cell>
          <cell r="AM127">
            <v>10000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50570</v>
          </cell>
          <cell r="AS127">
            <v>50570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 t="str">
            <v>0</v>
          </cell>
          <cell r="BF127">
            <v>0</v>
          </cell>
          <cell r="BG127">
            <v>0</v>
          </cell>
          <cell r="BH127">
            <v>155700</v>
          </cell>
          <cell r="BI127">
            <v>155700</v>
          </cell>
          <cell r="BJ127">
            <v>0</v>
          </cell>
          <cell r="BK127">
            <v>0</v>
          </cell>
          <cell r="BL127">
            <v>15833</v>
          </cell>
          <cell r="BM127">
            <v>200</v>
          </cell>
          <cell r="BN127">
            <v>0</v>
          </cell>
          <cell r="BO127">
            <v>0</v>
          </cell>
          <cell r="BP127">
            <v>1800</v>
          </cell>
          <cell r="BQ127">
            <v>0</v>
          </cell>
          <cell r="BR127">
            <v>1800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 t="str">
            <v>0</v>
          </cell>
          <cell r="BZ127" t="str">
            <v>0</v>
          </cell>
          <cell r="CA127" t="str">
            <v>0</v>
          </cell>
          <cell r="CB127" t="str">
            <v>0</v>
          </cell>
          <cell r="CC127" t="str">
            <v>0</v>
          </cell>
          <cell r="CD127" t="str">
            <v>0</v>
          </cell>
          <cell r="CE127" t="str">
            <v>0</v>
          </cell>
          <cell r="CF127" t="str">
            <v>0</v>
          </cell>
          <cell r="CG127" t="str">
            <v>0</v>
          </cell>
          <cell r="CH127" t="str">
            <v>0</v>
          </cell>
          <cell r="CI127" t="str">
            <v>0</v>
          </cell>
          <cell r="CJ127" t="str">
            <v>0</v>
          </cell>
          <cell r="CK127" t="str">
            <v>0</v>
          </cell>
          <cell r="CL127" t="str">
            <v>0</v>
          </cell>
          <cell r="CM127" t="str">
            <v>0</v>
          </cell>
          <cell r="CN127" t="str">
            <v>0</v>
          </cell>
          <cell r="CO127" t="str">
            <v>0</v>
          </cell>
          <cell r="CP127" t="str">
            <v>0</v>
          </cell>
          <cell r="CQ127" t="str">
            <v>0</v>
          </cell>
          <cell r="CR127" t="str">
            <v>0</v>
          </cell>
          <cell r="CS127" t="str">
            <v>0</v>
          </cell>
          <cell r="CT127" t="str">
            <v>0</v>
          </cell>
          <cell r="CU127" t="str">
            <v>0</v>
          </cell>
          <cell r="CV127" t="str">
            <v>0</v>
          </cell>
          <cell r="CW127" t="str">
            <v>0</v>
          </cell>
          <cell r="CX127" t="str">
            <v>0</v>
          </cell>
          <cell r="CY127">
            <v>17833</v>
          </cell>
          <cell r="CZ127">
            <v>137867</v>
          </cell>
          <cell r="DA127">
            <v>0</v>
          </cell>
          <cell r="DB127">
            <v>0</v>
          </cell>
          <cell r="DC127">
            <v>137867</v>
          </cell>
        </row>
        <row r="128">
          <cell r="A128" t="str">
            <v>FS525</v>
          </cell>
          <cell r="B128" t="str">
            <v>Enugandla Shreevathsa Varma</v>
          </cell>
          <cell r="C128" t="str">
            <v>Product Engineering</v>
          </cell>
          <cell r="D128" t="str">
            <v>19-03-2025</v>
          </cell>
          <cell r="E128" t="str">
            <v>N.A</v>
          </cell>
          <cell r="F128" t="str">
            <v>2025-10</v>
          </cell>
          <cell r="G128" t="str">
            <v>Success</v>
          </cell>
          <cell r="H128" t="str">
            <v>N.A</v>
          </cell>
          <cell r="I128" t="str">
            <v/>
          </cell>
          <cell r="J128" t="str">
            <v>30</v>
          </cell>
          <cell r="K128" t="str">
            <v>0</v>
          </cell>
          <cell r="L128" t="str">
            <v>0</v>
          </cell>
          <cell r="M128" t="str">
            <v>N.A</v>
          </cell>
          <cell r="N128" t="str">
            <v>0</v>
          </cell>
          <cell r="O128" t="str">
            <v>0</v>
          </cell>
          <cell r="P128" t="str">
            <v>30</v>
          </cell>
          <cell r="Q128" t="str">
            <v>30</v>
          </cell>
          <cell r="R128" t="str">
            <v>Lead Software Engineer</v>
          </cell>
          <cell r="S128" t="str">
            <v>Product Engineering</v>
          </cell>
          <cell r="T128" t="str">
            <v>Hyderabad</v>
          </cell>
          <cell r="U128" t="str">
            <v xml:space="preserve">Telangana </v>
          </cell>
          <cell r="V128" t="str">
            <v>52016276942</v>
          </cell>
          <cell r="W128" t="str">
            <v>STATE BANK OF INDIA</v>
          </cell>
          <cell r="X128" t="str">
            <v>230067</v>
          </cell>
          <cell r="Y128" t="str">
            <v>ABWPE7943B</v>
          </cell>
          <cell r="Z128" t="str">
            <v>96667</v>
          </cell>
          <cell r="AA128">
            <v>96667</v>
          </cell>
          <cell r="AB128">
            <v>0</v>
          </cell>
          <cell r="AC128">
            <v>38667</v>
          </cell>
          <cell r="AD128">
            <v>38667</v>
          </cell>
          <cell r="AE128">
            <v>0</v>
          </cell>
          <cell r="AF128">
            <v>10633</v>
          </cell>
          <cell r="AG128">
            <v>10633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10000</v>
          </cell>
          <cell r="AM128">
            <v>10000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74100</v>
          </cell>
          <cell r="AS128">
            <v>74100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 t="str">
            <v>0</v>
          </cell>
          <cell r="BF128">
            <v>0</v>
          </cell>
          <cell r="BG128">
            <v>0</v>
          </cell>
          <cell r="BH128">
            <v>230067</v>
          </cell>
          <cell r="BI128">
            <v>230067</v>
          </cell>
          <cell r="BJ128">
            <v>0</v>
          </cell>
          <cell r="BK128">
            <v>0</v>
          </cell>
          <cell r="BL128">
            <v>36898</v>
          </cell>
          <cell r="BM128">
            <v>200</v>
          </cell>
          <cell r="BN128">
            <v>0</v>
          </cell>
          <cell r="BO128">
            <v>0</v>
          </cell>
          <cell r="BP128">
            <v>11600</v>
          </cell>
          <cell r="BQ128">
            <v>0</v>
          </cell>
          <cell r="BR128">
            <v>11600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str">
            <v>0</v>
          </cell>
          <cell r="BZ128" t="str">
            <v>0</v>
          </cell>
          <cell r="CA128" t="str">
            <v>0</v>
          </cell>
          <cell r="CB128" t="str">
            <v>0</v>
          </cell>
          <cell r="CC128" t="str">
            <v>0</v>
          </cell>
          <cell r="CD128" t="str">
            <v>0</v>
          </cell>
          <cell r="CE128" t="str">
            <v>0</v>
          </cell>
          <cell r="CF128" t="str">
            <v>0</v>
          </cell>
          <cell r="CG128" t="str">
            <v>0</v>
          </cell>
          <cell r="CH128" t="str">
            <v>0</v>
          </cell>
          <cell r="CI128" t="str">
            <v>0</v>
          </cell>
          <cell r="CJ128" t="str">
            <v>0</v>
          </cell>
          <cell r="CK128" t="str">
            <v>0</v>
          </cell>
          <cell r="CL128" t="str">
            <v>0</v>
          </cell>
          <cell r="CM128" t="str">
            <v>0</v>
          </cell>
          <cell r="CN128" t="str">
            <v>0</v>
          </cell>
          <cell r="CO128" t="str">
            <v>0</v>
          </cell>
          <cell r="CP128" t="str">
            <v>0</v>
          </cell>
          <cell r="CQ128" t="str">
            <v>0</v>
          </cell>
          <cell r="CR128" t="str">
            <v>0</v>
          </cell>
          <cell r="CS128" t="str">
            <v>0</v>
          </cell>
          <cell r="CT128" t="str">
            <v>0</v>
          </cell>
          <cell r="CU128" t="str">
            <v>0</v>
          </cell>
          <cell r="CV128" t="str">
            <v>0</v>
          </cell>
          <cell r="CW128" t="str">
            <v>0</v>
          </cell>
          <cell r="CX128" t="str">
            <v>0</v>
          </cell>
          <cell r="CY128">
            <v>48698</v>
          </cell>
          <cell r="CZ128">
            <v>181369</v>
          </cell>
          <cell r="DA128">
            <v>0</v>
          </cell>
          <cell r="DB128">
            <v>0</v>
          </cell>
          <cell r="DC128">
            <v>181369</v>
          </cell>
        </row>
        <row r="129">
          <cell r="A129" t="str">
            <v>FS527</v>
          </cell>
          <cell r="B129" t="str">
            <v>Adarsh Verma</v>
          </cell>
          <cell r="C129" t="str">
            <v>Product Engineering</v>
          </cell>
          <cell r="D129" t="str">
            <v>26-03-2025</v>
          </cell>
          <cell r="E129" t="str">
            <v>N.A</v>
          </cell>
          <cell r="F129" t="str">
            <v>2025-10</v>
          </cell>
          <cell r="G129" t="str">
            <v>Success</v>
          </cell>
          <cell r="H129" t="str">
            <v>N.A</v>
          </cell>
          <cell r="I129" t="str">
            <v/>
          </cell>
          <cell r="J129" t="str">
            <v>30</v>
          </cell>
          <cell r="K129" t="str">
            <v>0</v>
          </cell>
          <cell r="L129" t="str">
            <v>0</v>
          </cell>
          <cell r="M129" t="str">
            <v>N.A</v>
          </cell>
          <cell r="N129" t="str">
            <v>0</v>
          </cell>
          <cell r="O129" t="str">
            <v>0</v>
          </cell>
          <cell r="P129" t="str">
            <v>30</v>
          </cell>
          <cell r="Q129" t="str">
            <v>30</v>
          </cell>
          <cell r="R129" t="str">
            <v>Senior Software Engineer</v>
          </cell>
          <cell r="S129" t="str">
            <v>Delivery-IN</v>
          </cell>
          <cell r="T129" t="str">
            <v>Hyderabad</v>
          </cell>
          <cell r="U129" t="str">
            <v xml:space="preserve">Telangana </v>
          </cell>
          <cell r="V129" t="str">
            <v>50100400188671</v>
          </cell>
          <cell r="W129" t="str">
            <v>HDFC BANK</v>
          </cell>
          <cell r="X129" t="str">
            <v>202367</v>
          </cell>
          <cell r="Y129" t="str">
            <v>BTPPV9574F</v>
          </cell>
          <cell r="Z129" t="str">
            <v>81667</v>
          </cell>
          <cell r="AA129">
            <v>81667</v>
          </cell>
          <cell r="AB129">
            <v>0</v>
          </cell>
          <cell r="AC129">
            <v>32667</v>
          </cell>
          <cell r="AD129">
            <v>32667</v>
          </cell>
          <cell r="AE129">
            <v>0</v>
          </cell>
          <cell r="AF129">
            <v>8983</v>
          </cell>
          <cell r="AG129">
            <v>8983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10000</v>
          </cell>
          <cell r="AM129">
            <v>10000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69050</v>
          </cell>
          <cell r="AS129">
            <v>69050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 t="str">
            <v>0</v>
          </cell>
          <cell r="BF129">
            <v>0</v>
          </cell>
          <cell r="BG129">
            <v>0</v>
          </cell>
          <cell r="BH129">
            <v>202367</v>
          </cell>
          <cell r="BI129">
            <v>202367</v>
          </cell>
          <cell r="BJ129">
            <v>0</v>
          </cell>
          <cell r="BK129">
            <v>0</v>
          </cell>
          <cell r="BL129">
            <v>25718</v>
          </cell>
          <cell r="BM129">
            <v>200</v>
          </cell>
          <cell r="BN129">
            <v>0</v>
          </cell>
          <cell r="BO129">
            <v>0</v>
          </cell>
          <cell r="BP129">
            <v>1800</v>
          </cell>
          <cell r="BQ129">
            <v>0</v>
          </cell>
          <cell r="BR129">
            <v>1800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str">
            <v>0</v>
          </cell>
          <cell r="BZ129" t="str">
            <v>0</v>
          </cell>
          <cell r="CA129" t="str">
            <v>0</v>
          </cell>
          <cell r="CB129" t="str">
            <v>0</v>
          </cell>
          <cell r="CC129" t="str">
            <v>0</v>
          </cell>
          <cell r="CD129" t="str">
            <v>0</v>
          </cell>
          <cell r="CE129" t="str">
            <v>0</v>
          </cell>
          <cell r="CF129" t="str">
            <v>0</v>
          </cell>
          <cell r="CG129" t="str">
            <v>0</v>
          </cell>
          <cell r="CH129" t="str">
            <v>0</v>
          </cell>
          <cell r="CI129" t="str">
            <v>0</v>
          </cell>
          <cell r="CJ129" t="str">
            <v>0</v>
          </cell>
          <cell r="CK129" t="str">
            <v>0</v>
          </cell>
          <cell r="CL129" t="str">
            <v>0</v>
          </cell>
          <cell r="CM129" t="str">
            <v>0</v>
          </cell>
          <cell r="CN129" t="str">
            <v>0</v>
          </cell>
          <cell r="CO129" t="str">
            <v>0</v>
          </cell>
          <cell r="CP129" t="str">
            <v>0</v>
          </cell>
          <cell r="CQ129" t="str">
            <v>0</v>
          </cell>
          <cell r="CR129" t="str">
            <v>0</v>
          </cell>
          <cell r="CS129" t="str">
            <v>0</v>
          </cell>
          <cell r="CT129" t="str">
            <v>0</v>
          </cell>
          <cell r="CU129" t="str">
            <v>0</v>
          </cell>
          <cell r="CV129" t="str">
            <v>0</v>
          </cell>
          <cell r="CW129" t="str">
            <v>0</v>
          </cell>
          <cell r="CX129" t="str">
            <v>0</v>
          </cell>
          <cell r="CY129">
            <v>27718</v>
          </cell>
          <cell r="CZ129">
            <v>174649</v>
          </cell>
          <cell r="DA129">
            <v>0</v>
          </cell>
          <cell r="DB129">
            <v>0</v>
          </cell>
          <cell r="DC129">
            <v>174649</v>
          </cell>
        </row>
        <row r="130">
          <cell r="A130" t="str">
            <v>FS528</v>
          </cell>
          <cell r="B130" t="str">
            <v>Radheshyam Saini</v>
          </cell>
          <cell r="C130" t="str">
            <v>Product Engineering</v>
          </cell>
          <cell r="D130" t="str">
            <v>27-03-2025</v>
          </cell>
          <cell r="E130" t="str">
            <v>N.A</v>
          </cell>
          <cell r="F130" t="str">
            <v>2025-10</v>
          </cell>
          <cell r="G130" t="str">
            <v>Success</v>
          </cell>
          <cell r="H130" t="str">
            <v>N.A</v>
          </cell>
          <cell r="I130" t="str">
            <v/>
          </cell>
          <cell r="J130" t="str">
            <v>30</v>
          </cell>
          <cell r="K130" t="str">
            <v>0</v>
          </cell>
          <cell r="L130" t="str">
            <v>0</v>
          </cell>
          <cell r="M130" t="str">
            <v>N.A</v>
          </cell>
          <cell r="N130" t="str">
            <v>0</v>
          </cell>
          <cell r="O130" t="str">
            <v>0</v>
          </cell>
          <cell r="P130" t="str">
            <v>30</v>
          </cell>
          <cell r="Q130" t="str">
            <v>30</v>
          </cell>
          <cell r="R130" t="str">
            <v>Senior Software Engineer</v>
          </cell>
          <cell r="S130" t="str">
            <v>Delivery-IN</v>
          </cell>
          <cell r="T130" t="str">
            <v>Hyderabad</v>
          </cell>
          <cell r="U130" t="str">
            <v xml:space="preserve">Telangana </v>
          </cell>
          <cell r="V130" t="str">
            <v>50100522442114</v>
          </cell>
          <cell r="W130" t="str">
            <v>HDFC BANK</v>
          </cell>
          <cell r="X130" t="str">
            <v>190700</v>
          </cell>
          <cell r="Y130" t="str">
            <v>MZQPS3120J</v>
          </cell>
          <cell r="Z130" t="str">
            <v>77000</v>
          </cell>
          <cell r="AA130">
            <v>77000</v>
          </cell>
          <cell r="AB130">
            <v>0</v>
          </cell>
          <cell r="AC130">
            <v>30800</v>
          </cell>
          <cell r="AD130">
            <v>30800</v>
          </cell>
          <cell r="AE130">
            <v>0</v>
          </cell>
          <cell r="AF130">
            <v>8470</v>
          </cell>
          <cell r="AG130">
            <v>8470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10000</v>
          </cell>
          <cell r="AM130">
            <v>10000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64430</v>
          </cell>
          <cell r="AS130">
            <v>64430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 t="str">
            <v>0</v>
          </cell>
          <cell r="BF130">
            <v>0</v>
          </cell>
          <cell r="BG130">
            <v>0</v>
          </cell>
          <cell r="BH130">
            <v>190700</v>
          </cell>
          <cell r="BI130">
            <v>190700</v>
          </cell>
          <cell r="BJ130">
            <v>0</v>
          </cell>
          <cell r="BK130">
            <v>0</v>
          </cell>
          <cell r="BL130">
            <v>22564</v>
          </cell>
          <cell r="BM130">
            <v>200</v>
          </cell>
          <cell r="BN130">
            <v>0</v>
          </cell>
          <cell r="BO130">
            <v>0</v>
          </cell>
          <cell r="BP130">
            <v>1800</v>
          </cell>
          <cell r="BQ130">
            <v>0</v>
          </cell>
          <cell r="BR130">
            <v>1800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str">
            <v>0</v>
          </cell>
          <cell r="BZ130" t="str">
            <v>0</v>
          </cell>
          <cell r="CA130" t="str">
            <v>0</v>
          </cell>
          <cell r="CB130" t="str">
            <v>0</v>
          </cell>
          <cell r="CC130" t="str">
            <v>0</v>
          </cell>
          <cell r="CD130" t="str">
            <v>0</v>
          </cell>
          <cell r="CE130" t="str">
            <v>0</v>
          </cell>
          <cell r="CF130" t="str">
            <v>0</v>
          </cell>
          <cell r="CG130" t="str">
            <v>0</v>
          </cell>
          <cell r="CH130" t="str">
            <v>0</v>
          </cell>
          <cell r="CI130" t="str">
            <v>0</v>
          </cell>
          <cell r="CJ130" t="str">
            <v>0</v>
          </cell>
          <cell r="CK130" t="str">
            <v>0</v>
          </cell>
          <cell r="CL130" t="str">
            <v>0</v>
          </cell>
          <cell r="CM130" t="str">
            <v>0</v>
          </cell>
          <cell r="CN130" t="str">
            <v>0</v>
          </cell>
          <cell r="CO130" t="str">
            <v>0</v>
          </cell>
          <cell r="CP130" t="str">
            <v>0</v>
          </cell>
          <cell r="CQ130" t="str">
            <v>0</v>
          </cell>
          <cell r="CR130" t="str">
            <v>0</v>
          </cell>
          <cell r="CS130" t="str">
            <v>0</v>
          </cell>
          <cell r="CT130" t="str">
            <v>0</v>
          </cell>
          <cell r="CU130" t="str">
            <v>0</v>
          </cell>
          <cell r="CV130" t="str">
            <v>0</v>
          </cell>
          <cell r="CW130" t="str">
            <v>0</v>
          </cell>
          <cell r="CX130" t="str">
            <v>0</v>
          </cell>
          <cell r="CY130">
            <v>24564</v>
          </cell>
          <cell r="CZ130">
            <v>166136</v>
          </cell>
          <cell r="DA130">
            <v>0</v>
          </cell>
          <cell r="DB130">
            <v>0</v>
          </cell>
          <cell r="DC130">
            <v>166136</v>
          </cell>
        </row>
        <row r="131">
          <cell r="A131" t="str">
            <v>FS529</v>
          </cell>
          <cell r="B131" t="str">
            <v>Modugu Jawahar Babu</v>
          </cell>
          <cell r="C131" t="str">
            <v>Product Engineering</v>
          </cell>
          <cell r="D131" t="str">
            <v>01-04-2025</v>
          </cell>
          <cell r="E131" t="str">
            <v>N.A</v>
          </cell>
          <cell r="F131" t="str">
            <v>2025-10</v>
          </cell>
          <cell r="G131" t="str">
            <v>Success</v>
          </cell>
          <cell r="H131" t="str">
            <v>N.A</v>
          </cell>
          <cell r="I131" t="str">
            <v/>
          </cell>
          <cell r="J131" t="str">
            <v>30</v>
          </cell>
          <cell r="K131" t="str">
            <v>0</v>
          </cell>
          <cell r="L131" t="str">
            <v>0</v>
          </cell>
          <cell r="M131" t="str">
            <v>N.A</v>
          </cell>
          <cell r="N131" t="str">
            <v>0</v>
          </cell>
          <cell r="O131" t="str">
            <v>0</v>
          </cell>
          <cell r="P131" t="str">
            <v>30</v>
          </cell>
          <cell r="Q131" t="str">
            <v>30</v>
          </cell>
          <cell r="R131" t="str">
            <v>Senior QA - Performance Test Engineer</v>
          </cell>
          <cell r="S131" t="str">
            <v>Delivery-IN</v>
          </cell>
          <cell r="T131" t="str">
            <v>Hyderabad</v>
          </cell>
          <cell r="U131" t="str">
            <v xml:space="preserve">Telangana </v>
          </cell>
          <cell r="V131" t="str">
            <v>20027428313</v>
          </cell>
          <cell r="W131" t="str">
            <v>STATE BANK OF INDIA</v>
          </cell>
          <cell r="X131" t="str">
            <v>156533</v>
          </cell>
          <cell r="Y131" t="str">
            <v>BUEPM6837Q</v>
          </cell>
          <cell r="Z131" t="str">
            <v>63333</v>
          </cell>
          <cell r="AA131">
            <v>63333</v>
          </cell>
          <cell r="AB131">
            <v>0</v>
          </cell>
          <cell r="AC131">
            <v>25333</v>
          </cell>
          <cell r="AD131">
            <v>25333</v>
          </cell>
          <cell r="AE131">
            <v>0</v>
          </cell>
          <cell r="AF131">
            <v>6967</v>
          </cell>
          <cell r="AG131">
            <v>6967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10000</v>
          </cell>
          <cell r="AM131">
            <v>10000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50900</v>
          </cell>
          <cell r="AS131">
            <v>50900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 t="str">
            <v>0</v>
          </cell>
          <cell r="BF131">
            <v>0</v>
          </cell>
          <cell r="BG131">
            <v>0</v>
          </cell>
          <cell r="BH131">
            <v>156533</v>
          </cell>
          <cell r="BI131">
            <v>156533</v>
          </cell>
          <cell r="BJ131">
            <v>0</v>
          </cell>
          <cell r="BK131">
            <v>0</v>
          </cell>
          <cell r="BL131">
            <v>13636</v>
          </cell>
          <cell r="BM131">
            <v>200</v>
          </cell>
          <cell r="BN131">
            <v>0</v>
          </cell>
          <cell r="BO131">
            <v>0</v>
          </cell>
          <cell r="BP131">
            <v>1800</v>
          </cell>
          <cell r="BQ131">
            <v>0</v>
          </cell>
          <cell r="BR131">
            <v>1800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 t="str">
            <v>0</v>
          </cell>
          <cell r="BZ131" t="str">
            <v>0</v>
          </cell>
          <cell r="CA131" t="str">
            <v>0</v>
          </cell>
          <cell r="CB131" t="str">
            <v>0</v>
          </cell>
          <cell r="CC131" t="str">
            <v>0</v>
          </cell>
          <cell r="CD131" t="str">
            <v>0</v>
          </cell>
          <cell r="CE131" t="str">
            <v>0</v>
          </cell>
          <cell r="CF131" t="str">
            <v>0</v>
          </cell>
          <cell r="CG131" t="str">
            <v>0</v>
          </cell>
          <cell r="CH131" t="str">
            <v>0</v>
          </cell>
          <cell r="CI131" t="str">
            <v>0</v>
          </cell>
          <cell r="CJ131" t="str">
            <v>0</v>
          </cell>
          <cell r="CK131" t="str">
            <v>0</v>
          </cell>
          <cell r="CL131" t="str">
            <v>0</v>
          </cell>
          <cell r="CM131" t="str">
            <v>0</v>
          </cell>
          <cell r="CN131" t="str">
            <v>0</v>
          </cell>
          <cell r="CO131" t="str">
            <v>0</v>
          </cell>
          <cell r="CP131" t="str">
            <v>0</v>
          </cell>
          <cell r="CQ131" t="str">
            <v>0</v>
          </cell>
          <cell r="CR131" t="str">
            <v>0</v>
          </cell>
          <cell r="CS131" t="str">
            <v>0</v>
          </cell>
          <cell r="CT131" t="str">
            <v>0</v>
          </cell>
          <cell r="CU131" t="str">
            <v>0</v>
          </cell>
          <cell r="CV131" t="str">
            <v>0</v>
          </cell>
          <cell r="CW131" t="str">
            <v>0</v>
          </cell>
          <cell r="CX131" t="str">
            <v>0</v>
          </cell>
          <cell r="CY131">
            <v>15636</v>
          </cell>
          <cell r="CZ131">
            <v>140897</v>
          </cell>
          <cell r="DA131">
            <v>0</v>
          </cell>
          <cell r="DB131">
            <v>0</v>
          </cell>
          <cell r="DC131">
            <v>140897</v>
          </cell>
        </row>
        <row r="132">
          <cell r="A132" t="str">
            <v>FS530</v>
          </cell>
          <cell r="B132" t="str">
            <v>SITHARLA BHOJESH</v>
          </cell>
          <cell r="C132" t="str">
            <v>Product Engineering</v>
          </cell>
          <cell r="D132" t="str">
            <v>02-04-2025</v>
          </cell>
          <cell r="E132" t="str">
            <v>N.A</v>
          </cell>
          <cell r="F132" t="str">
            <v>2025-10</v>
          </cell>
          <cell r="G132" t="str">
            <v>Success</v>
          </cell>
          <cell r="H132" t="str">
            <v>N.A</v>
          </cell>
          <cell r="I132" t="str">
            <v/>
          </cell>
          <cell r="J132" t="str">
            <v>30</v>
          </cell>
          <cell r="K132" t="str">
            <v>0</v>
          </cell>
          <cell r="L132" t="str">
            <v>0</v>
          </cell>
          <cell r="M132" t="str">
            <v>N.A</v>
          </cell>
          <cell r="N132" t="str">
            <v>0</v>
          </cell>
          <cell r="O132" t="str">
            <v>0</v>
          </cell>
          <cell r="P132" t="str">
            <v>30</v>
          </cell>
          <cell r="Q132" t="str">
            <v>30</v>
          </cell>
          <cell r="R132" t="str">
            <v>Senior Software Engineer</v>
          </cell>
          <cell r="S132" t="str">
            <v>Delivery-IN</v>
          </cell>
          <cell r="T132" t="str">
            <v>Hyderabad</v>
          </cell>
          <cell r="U132" t="str">
            <v xml:space="preserve">Telangana </v>
          </cell>
          <cell r="V132" t="str">
            <v>50100440968421</v>
          </cell>
          <cell r="W132" t="str">
            <v>HDFC BANK</v>
          </cell>
          <cell r="X132" t="str">
            <v>123200</v>
          </cell>
          <cell r="Y132" t="str">
            <v>EGPPB0181J</v>
          </cell>
          <cell r="Z132" t="str">
            <v>50000</v>
          </cell>
          <cell r="AA132">
            <v>50000</v>
          </cell>
          <cell r="AB132">
            <v>0</v>
          </cell>
          <cell r="AC132">
            <v>20000</v>
          </cell>
          <cell r="AD132">
            <v>20000</v>
          </cell>
          <cell r="AE132">
            <v>0</v>
          </cell>
          <cell r="AF132">
            <v>5500</v>
          </cell>
          <cell r="AG132">
            <v>5500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10000</v>
          </cell>
          <cell r="AM132">
            <v>10000</v>
          </cell>
          <cell r="AN132">
            <v>0</v>
          </cell>
          <cell r="AO132">
            <v>2200</v>
          </cell>
          <cell r="AP132">
            <v>2200</v>
          </cell>
          <cell r="AQ132">
            <v>0</v>
          </cell>
          <cell r="AR132">
            <v>35500</v>
          </cell>
          <cell r="AS132">
            <v>35500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 t="str">
            <v>0</v>
          </cell>
          <cell r="BF132">
            <v>0</v>
          </cell>
          <cell r="BG132">
            <v>0</v>
          </cell>
          <cell r="BH132">
            <v>123200</v>
          </cell>
          <cell r="BI132">
            <v>123200</v>
          </cell>
          <cell r="BJ132">
            <v>2200</v>
          </cell>
          <cell r="BK132">
            <v>0</v>
          </cell>
          <cell r="BL132">
            <v>7637</v>
          </cell>
          <cell r="BM132">
            <v>200</v>
          </cell>
          <cell r="BN132">
            <v>0</v>
          </cell>
          <cell r="BO132">
            <v>0</v>
          </cell>
          <cell r="BP132">
            <v>1800</v>
          </cell>
          <cell r="BQ132">
            <v>0</v>
          </cell>
          <cell r="BR132">
            <v>1800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str">
            <v>0</v>
          </cell>
          <cell r="BZ132" t="str">
            <v>0</v>
          </cell>
          <cell r="CA132" t="str">
            <v>0</v>
          </cell>
          <cell r="CB132" t="str">
            <v>0</v>
          </cell>
          <cell r="CC132" t="str">
            <v>0</v>
          </cell>
          <cell r="CD132" t="str">
            <v>0</v>
          </cell>
          <cell r="CE132" t="str">
            <v>0</v>
          </cell>
          <cell r="CF132" t="str">
            <v>0</v>
          </cell>
          <cell r="CG132" t="str">
            <v>0</v>
          </cell>
          <cell r="CH132" t="str">
            <v>0</v>
          </cell>
          <cell r="CI132" t="str">
            <v>0</v>
          </cell>
          <cell r="CJ132" t="str">
            <v>0</v>
          </cell>
          <cell r="CK132" t="str">
            <v>0</v>
          </cell>
          <cell r="CL132" t="str">
            <v>0</v>
          </cell>
          <cell r="CM132" t="str">
            <v>0</v>
          </cell>
          <cell r="CN132" t="str">
            <v>0</v>
          </cell>
          <cell r="CO132" t="str">
            <v>0</v>
          </cell>
          <cell r="CP132" t="str">
            <v>0</v>
          </cell>
          <cell r="CQ132" t="str">
            <v>0</v>
          </cell>
          <cell r="CR132" t="str">
            <v>0</v>
          </cell>
          <cell r="CS132" t="str">
            <v>0</v>
          </cell>
          <cell r="CT132" t="str">
            <v>0</v>
          </cell>
          <cell r="CU132" t="str">
            <v>0</v>
          </cell>
          <cell r="CV132" t="str">
            <v>0</v>
          </cell>
          <cell r="CW132" t="str">
            <v>0</v>
          </cell>
          <cell r="CX132" t="str">
            <v>0</v>
          </cell>
          <cell r="CY132">
            <v>11837</v>
          </cell>
          <cell r="CZ132">
            <v>111363</v>
          </cell>
          <cell r="DA132">
            <v>0</v>
          </cell>
          <cell r="DB132">
            <v>0</v>
          </cell>
          <cell r="DC132">
            <v>111363</v>
          </cell>
        </row>
        <row r="133">
          <cell r="A133" t="str">
            <v>FS531</v>
          </cell>
          <cell r="B133" t="str">
            <v>Karre Jayanth</v>
          </cell>
          <cell r="C133" t="str">
            <v>Product Engineering</v>
          </cell>
          <cell r="D133" t="str">
            <v>03-04-2025</v>
          </cell>
          <cell r="E133" t="str">
            <v>N.A</v>
          </cell>
          <cell r="F133" t="str">
            <v>2025-10</v>
          </cell>
          <cell r="G133" t="str">
            <v>Success</v>
          </cell>
          <cell r="H133" t="str">
            <v>N.A</v>
          </cell>
          <cell r="I133" t="str">
            <v/>
          </cell>
          <cell r="J133" t="str">
            <v>30</v>
          </cell>
          <cell r="K133" t="str">
            <v>0</v>
          </cell>
          <cell r="L133" t="str">
            <v>0</v>
          </cell>
          <cell r="M133" t="str">
            <v>N.A</v>
          </cell>
          <cell r="N133" t="str">
            <v>0</v>
          </cell>
          <cell r="O133" t="str">
            <v>0</v>
          </cell>
          <cell r="P133" t="str">
            <v>30</v>
          </cell>
          <cell r="Q133" t="str">
            <v>30</v>
          </cell>
          <cell r="R133" t="str">
            <v>Senior Software Engineer</v>
          </cell>
          <cell r="S133" t="str">
            <v>Delivery-IN</v>
          </cell>
          <cell r="T133" t="str">
            <v>Hyderabad</v>
          </cell>
          <cell r="U133" t="str">
            <v xml:space="preserve">Telangana </v>
          </cell>
          <cell r="V133" t="str">
            <v>44013947619</v>
          </cell>
          <cell r="W133" t="str">
            <v>STATE BANK OF INDIA</v>
          </cell>
          <cell r="X133" t="str">
            <v>204450</v>
          </cell>
          <cell r="Y133" t="str">
            <v>DJZPK7717M</v>
          </cell>
          <cell r="Z133" t="str">
            <v>82500</v>
          </cell>
          <cell r="AA133">
            <v>82500</v>
          </cell>
          <cell r="AB133">
            <v>0</v>
          </cell>
          <cell r="AC133">
            <v>33000</v>
          </cell>
          <cell r="AD133">
            <v>33000</v>
          </cell>
          <cell r="AE133">
            <v>0</v>
          </cell>
          <cell r="AF133">
            <v>9075</v>
          </cell>
          <cell r="AG133">
            <v>9075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10000</v>
          </cell>
          <cell r="AM133">
            <v>10000</v>
          </cell>
          <cell r="AN133">
            <v>0</v>
          </cell>
          <cell r="AO133">
            <v>2200</v>
          </cell>
          <cell r="AP133">
            <v>2200</v>
          </cell>
          <cell r="AQ133">
            <v>0</v>
          </cell>
          <cell r="AR133">
            <v>67675</v>
          </cell>
          <cell r="AS133">
            <v>67675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 t="str">
            <v>0</v>
          </cell>
          <cell r="BF133">
            <v>0</v>
          </cell>
          <cell r="BG133">
            <v>0</v>
          </cell>
          <cell r="BH133">
            <v>204450</v>
          </cell>
          <cell r="BI133">
            <v>204450</v>
          </cell>
          <cell r="BJ133">
            <v>2200</v>
          </cell>
          <cell r="BK133">
            <v>0</v>
          </cell>
          <cell r="BL133">
            <v>24961</v>
          </cell>
          <cell r="BM133">
            <v>200</v>
          </cell>
          <cell r="BN133">
            <v>0</v>
          </cell>
          <cell r="BO133">
            <v>0</v>
          </cell>
          <cell r="BP133">
            <v>1800</v>
          </cell>
          <cell r="BQ133">
            <v>0</v>
          </cell>
          <cell r="BR133">
            <v>1800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str">
            <v>0</v>
          </cell>
          <cell r="BZ133" t="str">
            <v>0</v>
          </cell>
          <cell r="CA133" t="str">
            <v>0</v>
          </cell>
          <cell r="CB133" t="str">
            <v>0</v>
          </cell>
          <cell r="CC133" t="str">
            <v>0</v>
          </cell>
          <cell r="CD133" t="str">
            <v>0</v>
          </cell>
          <cell r="CE133" t="str">
            <v>0</v>
          </cell>
          <cell r="CF133" t="str">
            <v>0</v>
          </cell>
          <cell r="CG133" t="str">
            <v>0</v>
          </cell>
          <cell r="CH133" t="str">
            <v>0</v>
          </cell>
          <cell r="CI133" t="str">
            <v>0</v>
          </cell>
          <cell r="CJ133" t="str">
            <v>0</v>
          </cell>
          <cell r="CK133" t="str">
            <v>0</v>
          </cell>
          <cell r="CL133" t="str">
            <v>0</v>
          </cell>
          <cell r="CM133" t="str">
            <v>0</v>
          </cell>
          <cell r="CN133" t="str">
            <v>0</v>
          </cell>
          <cell r="CO133" t="str">
            <v>0</v>
          </cell>
          <cell r="CP133" t="str">
            <v>0</v>
          </cell>
          <cell r="CQ133" t="str">
            <v>0</v>
          </cell>
          <cell r="CR133" t="str">
            <v>0</v>
          </cell>
          <cell r="CS133" t="str">
            <v>0</v>
          </cell>
          <cell r="CT133" t="str">
            <v>0</v>
          </cell>
          <cell r="CU133" t="str">
            <v>0</v>
          </cell>
          <cell r="CV133" t="str">
            <v>0</v>
          </cell>
          <cell r="CW133" t="str">
            <v>0</v>
          </cell>
          <cell r="CX133" t="str">
            <v>0</v>
          </cell>
          <cell r="CY133">
            <v>29161</v>
          </cell>
          <cell r="CZ133">
            <v>175289</v>
          </cell>
          <cell r="DA133">
            <v>0</v>
          </cell>
          <cell r="DB133">
            <v>0</v>
          </cell>
          <cell r="DC133">
            <v>175289</v>
          </cell>
        </row>
        <row r="134">
          <cell r="A134" t="str">
            <v>FS532</v>
          </cell>
          <cell r="B134" t="str">
            <v>Haneen Ahemed A</v>
          </cell>
          <cell r="C134" t="str">
            <v>Product Engineering</v>
          </cell>
          <cell r="D134" t="str">
            <v>07-04-2025</v>
          </cell>
          <cell r="E134" t="str">
            <v>N.A</v>
          </cell>
          <cell r="F134" t="str">
            <v>2025-10</v>
          </cell>
          <cell r="G134" t="str">
            <v>Success</v>
          </cell>
          <cell r="H134" t="str">
            <v>N.A</v>
          </cell>
          <cell r="I134" t="str">
            <v/>
          </cell>
          <cell r="J134" t="str">
            <v>30</v>
          </cell>
          <cell r="K134" t="str">
            <v>0</v>
          </cell>
          <cell r="L134" t="str">
            <v>0</v>
          </cell>
          <cell r="M134" t="str">
            <v>N.A</v>
          </cell>
          <cell r="N134" t="str">
            <v>0</v>
          </cell>
          <cell r="O134" t="str">
            <v>0</v>
          </cell>
          <cell r="P134" t="str">
            <v>30</v>
          </cell>
          <cell r="Q134" t="str">
            <v>30</v>
          </cell>
          <cell r="R134" t="str">
            <v>Senior Software Engineer</v>
          </cell>
          <cell r="S134" t="str">
            <v>Delivery-IN</v>
          </cell>
          <cell r="T134" t="str">
            <v>Hyderabad</v>
          </cell>
          <cell r="U134" t="str">
            <v xml:space="preserve">Telangana </v>
          </cell>
          <cell r="V134" t="str">
            <v>20394111098</v>
          </cell>
          <cell r="W134" t="str">
            <v>STATE BANK OF INDIA</v>
          </cell>
          <cell r="X134" t="str">
            <v>206533</v>
          </cell>
          <cell r="Y134" t="str">
            <v>COAPA9979J</v>
          </cell>
          <cell r="Z134" t="str">
            <v>83333</v>
          </cell>
          <cell r="AA134">
            <v>83333</v>
          </cell>
          <cell r="AB134">
            <v>0</v>
          </cell>
          <cell r="AC134">
            <v>33333</v>
          </cell>
          <cell r="AD134">
            <v>33333</v>
          </cell>
          <cell r="AE134">
            <v>0</v>
          </cell>
          <cell r="AF134">
            <v>9167</v>
          </cell>
          <cell r="AG134">
            <v>9167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10000</v>
          </cell>
          <cell r="AM134">
            <v>10000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70700</v>
          </cell>
          <cell r="AS134">
            <v>70700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 t="str">
            <v>0</v>
          </cell>
          <cell r="BF134">
            <v>0</v>
          </cell>
          <cell r="BG134">
            <v>0</v>
          </cell>
          <cell r="BH134">
            <v>206533</v>
          </cell>
          <cell r="BI134">
            <v>206533</v>
          </cell>
          <cell r="BJ134">
            <v>0</v>
          </cell>
          <cell r="BK134">
            <v>0</v>
          </cell>
          <cell r="BL134">
            <v>25926</v>
          </cell>
          <cell r="BM134">
            <v>200</v>
          </cell>
          <cell r="BN134">
            <v>0</v>
          </cell>
          <cell r="BO134">
            <v>0</v>
          </cell>
          <cell r="BP134">
            <v>1800</v>
          </cell>
          <cell r="BQ134">
            <v>0</v>
          </cell>
          <cell r="BR134">
            <v>1800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str">
            <v>0</v>
          </cell>
          <cell r="BZ134" t="str">
            <v>0</v>
          </cell>
          <cell r="CA134" t="str">
            <v>0</v>
          </cell>
          <cell r="CB134" t="str">
            <v>0</v>
          </cell>
          <cell r="CC134" t="str">
            <v>0</v>
          </cell>
          <cell r="CD134" t="str">
            <v>0</v>
          </cell>
          <cell r="CE134" t="str">
            <v>0</v>
          </cell>
          <cell r="CF134" t="str">
            <v>0</v>
          </cell>
          <cell r="CG134" t="str">
            <v>0</v>
          </cell>
          <cell r="CH134" t="str">
            <v>0</v>
          </cell>
          <cell r="CI134" t="str">
            <v>0</v>
          </cell>
          <cell r="CJ134" t="str">
            <v>0</v>
          </cell>
          <cell r="CK134" t="str">
            <v>0</v>
          </cell>
          <cell r="CL134" t="str">
            <v>0</v>
          </cell>
          <cell r="CM134" t="str">
            <v>0</v>
          </cell>
          <cell r="CN134" t="str">
            <v>0</v>
          </cell>
          <cell r="CO134" t="str">
            <v>0</v>
          </cell>
          <cell r="CP134" t="str">
            <v>0</v>
          </cell>
          <cell r="CQ134" t="str">
            <v>0</v>
          </cell>
          <cell r="CR134" t="str">
            <v>0</v>
          </cell>
          <cell r="CS134" t="str">
            <v>0</v>
          </cell>
          <cell r="CT134" t="str">
            <v>0</v>
          </cell>
          <cell r="CU134" t="str">
            <v>0</v>
          </cell>
          <cell r="CV134" t="str">
            <v>0</v>
          </cell>
          <cell r="CW134" t="str">
            <v>0</v>
          </cell>
          <cell r="CX134" t="str">
            <v>0</v>
          </cell>
          <cell r="CY134">
            <v>27926</v>
          </cell>
          <cell r="CZ134">
            <v>178607</v>
          </cell>
          <cell r="DA134">
            <v>0</v>
          </cell>
          <cell r="DB134">
            <v>0</v>
          </cell>
          <cell r="DC134">
            <v>178607</v>
          </cell>
        </row>
        <row r="135">
          <cell r="A135" t="str">
            <v>FS534</v>
          </cell>
          <cell r="B135" t="str">
            <v>PRAVEEN VASA</v>
          </cell>
          <cell r="C135" t="str">
            <v>Product Engineering</v>
          </cell>
          <cell r="D135" t="str">
            <v>14-04-2025</v>
          </cell>
          <cell r="E135" t="str">
            <v>N.A</v>
          </cell>
          <cell r="F135" t="str">
            <v>2025-10</v>
          </cell>
          <cell r="G135" t="str">
            <v>Success</v>
          </cell>
          <cell r="H135" t="str">
            <v>N.A</v>
          </cell>
          <cell r="I135" t="str">
            <v/>
          </cell>
          <cell r="J135" t="str">
            <v>30</v>
          </cell>
          <cell r="K135" t="str">
            <v>0</v>
          </cell>
          <cell r="L135" t="str">
            <v>0</v>
          </cell>
          <cell r="M135" t="str">
            <v>N.A</v>
          </cell>
          <cell r="N135" t="str">
            <v>0</v>
          </cell>
          <cell r="O135" t="str">
            <v>0</v>
          </cell>
          <cell r="P135" t="str">
            <v>30</v>
          </cell>
          <cell r="Q135" t="str">
            <v>30</v>
          </cell>
          <cell r="R135" t="str">
            <v>Senior Software Engineer</v>
          </cell>
          <cell r="S135" t="str">
            <v>Delivery-IN</v>
          </cell>
          <cell r="T135" t="str">
            <v>Hyderabad</v>
          </cell>
          <cell r="U135" t="str">
            <v xml:space="preserve">Telangana </v>
          </cell>
          <cell r="V135" t="str">
            <v>62349303860</v>
          </cell>
          <cell r="W135" t="str">
            <v>STATE BANK OF INDIA</v>
          </cell>
          <cell r="X135" t="str">
            <v>277667</v>
          </cell>
          <cell r="Y135" t="str">
            <v>CYAPP6247E</v>
          </cell>
          <cell r="Z135" t="str">
            <v>116667</v>
          </cell>
          <cell r="AA135">
            <v>116667</v>
          </cell>
          <cell r="AB135">
            <v>0</v>
          </cell>
          <cell r="AC135">
            <v>46667</v>
          </cell>
          <cell r="AD135">
            <v>46667</v>
          </cell>
          <cell r="AE135">
            <v>0</v>
          </cell>
          <cell r="AF135">
            <v>12833</v>
          </cell>
          <cell r="AG135">
            <v>12833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10000</v>
          </cell>
          <cell r="AM135">
            <v>10000</v>
          </cell>
          <cell r="AN135">
            <v>0</v>
          </cell>
          <cell r="AO135">
            <v>2200</v>
          </cell>
          <cell r="AP135">
            <v>2200</v>
          </cell>
          <cell r="AQ135">
            <v>0</v>
          </cell>
          <cell r="AR135">
            <v>89300</v>
          </cell>
          <cell r="AS135">
            <v>89300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 t="str">
            <v>0</v>
          </cell>
          <cell r="BF135">
            <v>0</v>
          </cell>
          <cell r="BG135">
            <v>0</v>
          </cell>
          <cell r="BH135">
            <v>277667</v>
          </cell>
          <cell r="BI135">
            <v>277667</v>
          </cell>
          <cell r="BJ135">
            <v>2200</v>
          </cell>
          <cell r="BK135">
            <v>0</v>
          </cell>
          <cell r="BL135">
            <v>45318</v>
          </cell>
          <cell r="BM135">
            <v>200</v>
          </cell>
          <cell r="BN135">
            <v>0</v>
          </cell>
          <cell r="BO135">
            <v>0</v>
          </cell>
          <cell r="BP135">
            <v>14000</v>
          </cell>
          <cell r="BQ135">
            <v>0</v>
          </cell>
          <cell r="BR135">
            <v>14000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str">
            <v>0</v>
          </cell>
          <cell r="BZ135" t="str">
            <v>0</v>
          </cell>
          <cell r="CA135" t="str">
            <v>0</v>
          </cell>
          <cell r="CB135" t="str">
            <v>0</v>
          </cell>
          <cell r="CC135" t="str">
            <v>0</v>
          </cell>
          <cell r="CD135" t="str">
            <v>0</v>
          </cell>
          <cell r="CE135" t="str">
            <v>0</v>
          </cell>
          <cell r="CF135" t="str">
            <v>0</v>
          </cell>
          <cell r="CG135" t="str">
            <v>0</v>
          </cell>
          <cell r="CH135" t="str">
            <v>0</v>
          </cell>
          <cell r="CI135" t="str">
            <v>0</v>
          </cell>
          <cell r="CJ135" t="str">
            <v>0</v>
          </cell>
          <cell r="CK135" t="str">
            <v>0</v>
          </cell>
          <cell r="CL135" t="str">
            <v>0</v>
          </cell>
          <cell r="CM135" t="str">
            <v>0</v>
          </cell>
          <cell r="CN135" t="str">
            <v>0</v>
          </cell>
          <cell r="CO135" t="str">
            <v>0</v>
          </cell>
          <cell r="CP135" t="str">
            <v>0</v>
          </cell>
          <cell r="CQ135" t="str">
            <v>0</v>
          </cell>
          <cell r="CR135" t="str">
            <v>0</v>
          </cell>
          <cell r="CS135" t="str">
            <v>0</v>
          </cell>
          <cell r="CT135" t="str">
            <v>0</v>
          </cell>
          <cell r="CU135" t="str">
            <v>0</v>
          </cell>
          <cell r="CV135" t="str">
            <v>0</v>
          </cell>
          <cell r="CW135" t="str">
            <v>0</v>
          </cell>
          <cell r="CX135" t="str">
            <v>0</v>
          </cell>
          <cell r="CY135">
            <v>61718</v>
          </cell>
          <cell r="CZ135">
            <v>215949</v>
          </cell>
          <cell r="DA135">
            <v>0</v>
          </cell>
          <cell r="DB135">
            <v>0</v>
          </cell>
          <cell r="DC135">
            <v>215949</v>
          </cell>
        </row>
        <row r="136">
          <cell r="A136" t="str">
            <v>FS535</v>
          </cell>
          <cell r="B136" t="str">
            <v>MUPPALLA SUMAN</v>
          </cell>
          <cell r="C136" t="str">
            <v>Product Engineering</v>
          </cell>
          <cell r="D136" t="str">
            <v>21-04-2025</v>
          </cell>
          <cell r="E136" t="str">
            <v>N.A</v>
          </cell>
          <cell r="F136" t="str">
            <v>2025-10</v>
          </cell>
          <cell r="G136" t="str">
            <v>Success</v>
          </cell>
          <cell r="H136" t="str">
            <v>N.A</v>
          </cell>
          <cell r="I136" t="str">
            <v/>
          </cell>
          <cell r="J136" t="str">
            <v>30</v>
          </cell>
          <cell r="K136" t="str">
            <v>0</v>
          </cell>
          <cell r="L136" t="str">
            <v>0</v>
          </cell>
          <cell r="M136" t="str">
            <v>N.A</v>
          </cell>
          <cell r="N136" t="str">
            <v>0</v>
          </cell>
          <cell r="O136" t="str">
            <v>0</v>
          </cell>
          <cell r="P136" t="str">
            <v>30</v>
          </cell>
          <cell r="Q136" t="str">
            <v>30</v>
          </cell>
          <cell r="R136" t="str">
            <v>Technical Lead</v>
          </cell>
          <cell r="S136" t="str">
            <v>Delivery-IN</v>
          </cell>
          <cell r="T136" t="str">
            <v>Hyderabad</v>
          </cell>
          <cell r="U136" t="str">
            <v xml:space="preserve">Telangana </v>
          </cell>
          <cell r="V136" t="str">
            <v>50100220129813</v>
          </cell>
          <cell r="W136" t="str">
            <v>HDFC BANK</v>
          </cell>
          <cell r="X136" t="str">
            <v>229700</v>
          </cell>
          <cell r="Y136" t="str">
            <v>CVIPM1961K</v>
          </cell>
          <cell r="Z136" t="str">
            <v>92600</v>
          </cell>
          <cell r="AA136">
            <v>92600</v>
          </cell>
          <cell r="AB136">
            <v>0</v>
          </cell>
          <cell r="AC136">
            <v>37040</v>
          </cell>
          <cell r="AD136">
            <v>37040</v>
          </cell>
          <cell r="AE136">
            <v>0</v>
          </cell>
          <cell r="AF136">
            <v>10186</v>
          </cell>
          <cell r="AG136">
            <v>10186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10000</v>
          </cell>
          <cell r="AM136">
            <v>10000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79874</v>
          </cell>
          <cell r="AS136">
            <v>79874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 t="str">
            <v>0</v>
          </cell>
          <cell r="BF136">
            <v>0</v>
          </cell>
          <cell r="BG136">
            <v>0</v>
          </cell>
          <cell r="BH136">
            <v>229700</v>
          </cell>
          <cell r="BI136">
            <v>229700</v>
          </cell>
          <cell r="BJ136">
            <v>0</v>
          </cell>
          <cell r="BK136">
            <v>0</v>
          </cell>
          <cell r="BL136">
            <v>31223</v>
          </cell>
          <cell r="BM136">
            <v>200</v>
          </cell>
          <cell r="BN136">
            <v>0</v>
          </cell>
          <cell r="BO136">
            <v>0</v>
          </cell>
          <cell r="BP136">
            <v>1800</v>
          </cell>
          <cell r="BQ136">
            <v>0</v>
          </cell>
          <cell r="BR136">
            <v>1800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str">
            <v>0</v>
          </cell>
          <cell r="BZ136" t="str">
            <v>0</v>
          </cell>
          <cell r="CA136" t="str">
            <v>0</v>
          </cell>
          <cell r="CB136" t="str">
            <v>0</v>
          </cell>
          <cell r="CC136" t="str">
            <v>0</v>
          </cell>
          <cell r="CD136" t="str">
            <v>0</v>
          </cell>
          <cell r="CE136" t="str">
            <v>0</v>
          </cell>
          <cell r="CF136" t="str">
            <v>0</v>
          </cell>
          <cell r="CG136" t="str">
            <v>0</v>
          </cell>
          <cell r="CH136" t="str">
            <v>0</v>
          </cell>
          <cell r="CI136" t="str">
            <v>0</v>
          </cell>
          <cell r="CJ136" t="str">
            <v>0</v>
          </cell>
          <cell r="CK136" t="str">
            <v>0</v>
          </cell>
          <cell r="CL136" t="str">
            <v>0</v>
          </cell>
          <cell r="CM136" t="str">
            <v>0</v>
          </cell>
          <cell r="CN136" t="str">
            <v>0</v>
          </cell>
          <cell r="CO136" t="str">
            <v>0</v>
          </cell>
          <cell r="CP136" t="str">
            <v>0</v>
          </cell>
          <cell r="CQ136" t="str">
            <v>0</v>
          </cell>
          <cell r="CR136" t="str">
            <v>0</v>
          </cell>
          <cell r="CS136" t="str">
            <v>0</v>
          </cell>
          <cell r="CT136" t="str">
            <v>0</v>
          </cell>
          <cell r="CU136" t="str">
            <v>0</v>
          </cell>
          <cell r="CV136" t="str">
            <v>0</v>
          </cell>
          <cell r="CW136" t="str">
            <v>0</v>
          </cell>
          <cell r="CX136" t="str">
            <v>0</v>
          </cell>
          <cell r="CY136">
            <v>33223</v>
          </cell>
          <cell r="CZ136">
            <v>196477</v>
          </cell>
          <cell r="DA136">
            <v>0</v>
          </cell>
          <cell r="DB136">
            <v>0</v>
          </cell>
          <cell r="DC136">
            <v>196477</v>
          </cell>
        </row>
        <row r="137">
          <cell r="A137" t="str">
            <v>FS536</v>
          </cell>
          <cell r="B137" t="str">
            <v>A R Danish</v>
          </cell>
          <cell r="C137" t="str">
            <v>Product Engineering</v>
          </cell>
          <cell r="D137" t="str">
            <v>24-04-2025</v>
          </cell>
          <cell r="E137" t="str">
            <v>N.A</v>
          </cell>
          <cell r="F137" t="str">
            <v>2025-10</v>
          </cell>
          <cell r="G137" t="str">
            <v>Success</v>
          </cell>
          <cell r="H137" t="str">
            <v>N.A</v>
          </cell>
          <cell r="I137" t="str">
            <v/>
          </cell>
          <cell r="J137" t="str">
            <v>30</v>
          </cell>
          <cell r="K137" t="str">
            <v>0</v>
          </cell>
          <cell r="L137" t="str">
            <v>0</v>
          </cell>
          <cell r="M137" t="str">
            <v>N.A</v>
          </cell>
          <cell r="N137" t="str">
            <v>0</v>
          </cell>
          <cell r="O137" t="str">
            <v>0</v>
          </cell>
          <cell r="P137" t="str">
            <v>30</v>
          </cell>
          <cell r="Q137" t="str">
            <v>30</v>
          </cell>
          <cell r="R137" t="str">
            <v>Senior Software Engineer</v>
          </cell>
          <cell r="S137" t="str">
            <v>Delivery-IN</v>
          </cell>
          <cell r="T137" t="str">
            <v>Hyderabad</v>
          </cell>
          <cell r="U137" t="str">
            <v xml:space="preserve">Telangana </v>
          </cell>
          <cell r="V137" t="str">
            <v>50100416824401</v>
          </cell>
          <cell r="W137" t="str">
            <v>HDFC BANK</v>
          </cell>
          <cell r="X137" t="str">
            <v>200260</v>
          </cell>
          <cell r="Y137" t="str">
            <v>HACPD2297H</v>
          </cell>
          <cell r="Z137" t="str">
            <v>77000</v>
          </cell>
          <cell r="AA137">
            <v>77000</v>
          </cell>
          <cell r="AB137">
            <v>0</v>
          </cell>
          <cell r="AC137">
            <v>30800</v>
          </cell>
          <cell r="AD137">
            <v>30800</v>
          </cell>
          <cell r="AE137">
            <v>0</v>
          </cell>
          <cell r="AF137">
            <v>8470</v>
          </cell>
          <cell r="AG137">
            <v>8470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10000</v>
          </cell>
          <cell r="AM137">
            <v>10000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56990</v>
          </cell>
          <cell r="AS137">
            <v>56990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17000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 t="str">
            <v>0</v>
          </cell>
          <cell r="BF137">
            <v>0</v>
          </cell>
          <cell r="BG137">
            <v>17000</v>
          </cell>
          <cell r="BH137">
            <v>200260</v>
          </cell>
          <cell r="BI137">
            <v>200260</v>
          </cell>
          <cell r="BJ137">
            <v>0</v>
          </cell>
          <cell r="BK137">
            <v>0</v>
          </cell>
          <cell r="BL137">
            <v>19669</v>
          </cell>
          <cell r="BM137">
            <v>200</v>
          </cell>
          <cell r="BN137">
            <v>0</v>
          </cell>
          <cell r="BO137">
            <v>0</v>
          </cell>
          <cell r="BP137">
            <v>9240</v>
          </cell>
          <cell r="BQ137">
            <v>0</v>
          </cell>
          <cell r="BR137">
            <v>9240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str">
            <v>0</v>
          </cell>
          <cell r="BZ137" t="str">
            <v>0</v>
          </cell>
          <cell r="CA137" t="str">
            <v>0</v>
          </cell>
          <cell r="CB137" t="str">
            <v>0</v>
          </cell>
          <cell r="CC137" t="str">
            <v>0</v>
          </cell>
          <cell r="CD137" t="str">
            <v>0</v>
          </cell>
          <cell r="CE137" t="str">
            <v>0</v>
          </cell>
          <cell r="CF137" t="str">
            <v>0</v>
          </cell>
          <cell r="CG137" t="str">
            <v>0</v>
          </cell>
          <cell r="CH137" t="str">
            <v>0</v>
          </cell>
          <cell r="CI137" t="str">
            <v>0</v>
          </cell>
          <cell r="CJ137" t="str">
            <v>0</v>
          </cell>
          <cell r="CK137" t="str">
            <v>0</v>
          </cell>
          <cell r="CL137" t="str">
            <v>0</v>
          </cell>
          <cell r="CM137" t="str">
            <v>0</v>
          </cell>
          <cell r="CN137" t="str">
            <v>0</v>
          </cell>
          <cell r="CO137" t="str">
            <v>0</v>
          </cell>
          <cell r="CP137" t="str">
            <v>0</v>
          </cell>
          <cell r="CQ137" t="str">
            <v>0</v>
          </cell>
          <cell r="CR137" t="str">
            <v>0</v>
          </cell>
          <cell r="CS137" t="str">
            <v>0</v>
          </cell>
          <cell r="CT137" t="str">
            <v>0</v>
          </cell>
          <cell r="CU137" t="str">
            <v>0</v>
          </cell>
          <cell r="CV137" t="str">
            <v>0</v>
          </cell>
          <cell r="CW137" t="str">
            <v>0</v>
          </cell>
          <cell r="CX137" t="str">
            <v>0</v>
          </cell>
          <cell r="CY137">
            <v>29109</v>
          </cell>
          <cell r="CZ137">
            <v>171151</v>
          </cell>
          <cell r="DA137">
            <v>0</v>
          </cell>
          <cell r="DB137">
            <v>0</v>
          </cell>
          <cell r="DC137">
            <v>171151</v>
          </cell>
        </row>
        <row r="138">
          <cell r="A138" t="str">
            <v>FS537</v>
          </cell>
          <cell r="B138" t="str">
            <v>Dasa Sirish Kumar</v>
          </cell>
          <cell r="C138" t="str">
            <v>Quality Engineering</v>
          </cell>
          <cell r="D138" t="str">
            <v>10-04-2025</v>
          </cell>
          <cell r="E138" t="str">
            <v>N.A</v>
          </cell>
          <cell r="F138" t="str">
            <v>2025-10</v>
          </cell>
          <cell r="G138" t="str">
            <v>Success</v>
          </cell>
          <cell r="H138" t="str">
            <v>N.A</v>
          </cell>
          <cell r="I138" t="str">
            <v/>
          </cell>
          <cell r="J138" t="str">
            <v>30</v>
          </cell>
          <cell r="K138" t="str">
            <v>0</v>
          </cell>
          <cell r="L138" t="str">
            <v>0</v>
          </cell>
          <cell r="M138" t="str">
            <v>N.A</v>
          </cell>
          <cell r="N138" t="str">
            <v>0</v>
          </cell>
          <cell r="O138" t="str">
            <v>0</v>
          </cell>
          <cell r="P138" t="str">
            <v>30</v>
          </cell>
          <cell r="Q138" t="str">
            <v>30</v>
          </cell>
          <cell r="R138" t="str">
            <v>Manager -QA/ Senior Tech Architect</v>
          </cell>
          <cell r="S138" t="str">
            <v>Delivery-IN</v>
          </cell>
          <cell r="T138" t="str">
            <v>Hyderabad</v>
          </cell>
          <cell r="U138" t="str">
            <v xml:space="preserve">Telangana </v>
          </cell>
          <cell r="V138" t="str">
            <v>50100788996758</v>
          </cell>
          <cell r="W138" t="str">
            <v>HDFC BANK</v>
          </cell>
          <cell r="X138" t="str">
            <v>330976</v>
          </cell>
          <cell r="Y138" t="str">
            <v>BDOPD5051L</v>
          </cell>
          <cell r="Z138" t="str">
            <v>133110</v>
          </cell>
          <cell r="AA138">
            <v>133110</v>
          </cell>
          <cell r="AB138">
            <v>0</v>
          </cell>
          <cell r="AC138">
            <v>53244</v>
          </cell>
          <cell r="AD138">
            <v>53244</v>
          </cell>
          <cell r="AE138">
            <v>0</v>
          </cell>
          <cell r="AF138">
            <v>14642</v>
          </cell>
          <cell r="AG138">
            <v>14642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10000</v>
          </cell>
          <cell r="AM138">
            <v>10000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119980</v>
          </cell>
          <cell r="AS138">
            <v>119980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 t="str">
            <v>0</v>
          </cell>
          <cell r="BF138">
            <v>0</v>
          </cell>
          <cell r="BG138">
            <v>0</v>
          </cell>
          <cell r="BH138">
            <v>330976</v>
          </cell>
          <cell r="BI138">
            <v>330976</v>
          </cell>
          <cell r="BJ138">
            <v>0</v>
          </cell>
          <cell r="BK138">
            <v>0</v>
          </cell>
          <cell r="BL138">
            <v>63423</v>
          </cell>
          <cell r="BM138">
            <v>200</v>
          </cell>
          <cell r="BN138">
            <v>0</v>
          </cell>
          <cell r="BO138">
            <v>0</v>
          </cell>
          <cell r="BP138">
            <v>1800</v>
          </cell>
          <cell r="BQ138">
            <v>0</v>
          </cell>
          <cell r="BR138">
            <v>1800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 t="str">
            <v>0</v>
          </cell>
          <cell r="BZ138" t="str">
            <v>0</v>
          </cell>
          <cell r="CA138" t="str">
            <v>0</v>
          </cell>
          <cell r="CB138" t="str">
            <v>0</v>
          </cell>
          <cell r="CC138" t="str">
            <v>0</v>
          </cell>
          <cell r="CD138" t="str">
            <v>0</v>
          </cell>
          <cell r="CE138" t="str">
            <v>0</v>
          </cell>
          <cell r="CF138" t="str">
            <v>0</v>
          </cell>
          <cell r="CG138" t="str">
            <v>0</v>
          </cell>
          <cell r="CH138" t="str">
            <v>0</v>
          </cell>
          <cell r="CI138" t="str">
            <v>0</v>
          </cell>
          <cell r="CJ138" t="str">
            <v>0</v>
          </cell>
          <cell r="CK138" t="str">
            <v>0</v>
          </cell>
          <cell r="CL138" t="str">
            <v>0</v>
          </cell>
          <cell r="CM138" t="str">
            <v>0</v>
          </cell>
          <cell r="CN138" t="str">
            <v>0</v>
          </cell>
          <cell r="CO138" t="str">
            <v>0</v>
          </cell>
          <cell r="CP138" t="str">
            <v>0</v>
          </cell>
          <cell r="CQ138" t="str">
            <v>0</v>
          </cell>
          <cell r="CR138" t="str">
            <v>0</v>
          </cell>
          <cell r="CS138" t="str">
            <v>0</v>
          </cell>
          <cell r="CT138" t="str">
            <v>0</v>
          </cell>
          <cell r="CU138" t="str">
            <v>0</v>
          </cell>
          <cell r="CV138" t="str">
            <v>0</v>
          </cell>
          <cell r="CW138" t="str">
            <v>0</v>
          </cell>
          <cell r="CX138" t="str">
            <v>0</v>
          </cell>
          <cell r="CY138">
            <v>65423</v>
          </cell>
          <cell r="CZ138">
            <v>265553</v>
          </cell>
          <cell r="DA138">
            <v>0</v>
          </cell>
          <cell r="DB138">
            <v>0</v>
          </cell>
          <cell r="DC138">
            <v>265553</v>
          </cell>
        </row>
        <row r="139">
          <cell r="A139" t="str">
            <v>FS538</v>
          </cell>
          <cell r="B139" t="str">
            <v>Jonnadula Sathish</v>
          </cell>
          <cell r="C139" t="str">
            <v>Product Engineering</v>
          </cell>
          <cell r="D139" t="str">
            <v>29-04-2025</v>
          </cell>
          <cell r="E139" t="str">
            <v>N.A</v>
          </cell>
          <cell r="F139" t="str">
            <v>2025-10</v>
          </cell>
          <cell r="G139" t="str">
            <v>Success</v>
          </cell>
          <cell r="H139" t="str">
            <v>N.A</v>
          </cell>
          <cell r="I139" t="str">
            <v/>
          </cell>
          <cell r="J139" t="str">
            <v>30</v>
          </cell>
          <cell r="K139" t="str">
            <v>0</v>
          </cell>
          <cell r="L139" t="str">
            <v>0</v>
          </cell>
          <cell r="M139" t="str">
            <v>N.A</v>
          </cell>
          <cell r="N139" t="str">
            <v>0</v>
          </cell>
          <cell r="O139" t="str">
            <v>0</v>
          </cell>
          <cell r="P139" t="str">
            <v>30</v>
          </cell>
          <cell r="Q139" t="str">
            <v>30</v>
          </cell>
          <cell r="R139" t="str">
            <v>Senior Software Engineer</v>
          </cell>
          <cell r="S139" t="str">
            <v>Delivery-IN</v>
          </cell>
          <cell r="T139" t="str">
            <v>Hyderabad</v>
          </cell>
          <cell r="U139" t="str">
            <v xml:space="preserve">Telangana </v>
          </cell>
          <cell r="V139" t="str">
            <v>50100170189328</v>
          </cell>
          <cell r="W139" t="str">
            <v>HDFC BANK</v>
          </cell>
          <cell r="X139" t="str">
            <v>230067</v>
          </cell>
          <cell r="Y139" t="str">
            <v>BEKPJ6169J</v>
          </cell>
          <cell r="Z139" t="str">
            <v>96667</v>
          </cell>
          <cell r="AA139">
            <v>96667</v>
          </cell>
          <cell r="AB139">
            <v>0</v>
          </cell>
          <cell r="AC139">
            <v>38667</v>
          </cell>
          <cell r="AD139">
            <v>38667</v>
          </cell>
          <cell r="AE139">
            <v>0</v>
          </cell>
          <cell r="AF139">
            <v>10633</v>
          </cell>
          <cell r="AG139">
            <v>10633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10000</v>
          </cell>
          <cell r="AM139">
            <v>10000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74100</v>
          </cell>
          <cell r="AS139">
            <v>74100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 t="str">
            <v>0</v>
          </cell>
          <cell r="BF139">
            <v>0</v>
          </cell>
          <cell r="BG139">
            <v>0</v>
          </cell>
          <cell r="BH139">
            <v>230067</v>
          </cell>
          <cell r="BI139">
            <v>230067</v>
          </cell>
          <cell r="BJ139">
            <v>0</v>
          </cell>
          <cell r="BK139">
            <v>0</v>
          </cell>
          <cell r="BL139">
            <v>31318</v>
          </cell>
          <cell r="BM139">
            <v>200</v>
          </cell>
          <cell r="BN139">
            <v>0</v>
          </cell>
          <cell r="BO139">
            <v>0</v>
          </cell>
          <cell r="BP139">
            <v>11600</v>
          </cell>
          <cell r="BQ139">
            <v>0</v>
          </cell>
          <cell r="BR139">
            <v>11600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str">
            <v>0</v>
          </cell>
          <cell r="BZ139" t="str">
            <v>0</v>
          </cell>
          <cell r="CA139" t="str">
            <v>0</v>
          </cell>
          <cell r="CB139" t="str">
            <v>0</v>
          </cell>
          <cell r="CC139" t="str">
            <v>0</v>
          </cell>
          <cell r="CD139" t="str">
            <v>0</v>
          </cell>
          <cell r="CE139" t="str">
            <v>0</v>
          </cell>
          <cell r="CF139" t="str">
            <v>0</v>
          </cell>
          <cell r="CG139" t="str">
            <v>0</v>
          </cell>
          <cell r="CH139" t="str">
            <v>0</v>
          </cell>
          <cell r="CI139" t="str">
            <v>0</v>
          </cell>
          <cell r="CJ139" t="str">
            <v>0</v>
          </cell>
          <cell r="CK139" t="str">
            <v>0</v>
          </cell>
          <cell r="CL139" t="str">
            <v>0</v>
          </cell>
          <cell r="CM139" t="str">
            <v>0</v>
          </cell>
          <cell r="CN139" t="str">
            <v>0</v>
          </cell>
          <cell r="CO139" t="str">
            <v>0</v>
          </cell>
          <cell r="CP139" t="str">
            <v>0</v>
          </cell>
          <cell r="CQ139" t="str">
            <v>0</v>
          </cell>
          <cell r="CR139" t="str">
            <v>0</v>
          </cell>
          <cell r="CS139" t="str">
            <v>0</v>
          </cell>
          <cell r="CT139" t="str">
            <v>0</v>
          </cell>
          <cell r="CU139" t="str">
            <v>0</v>
          </cell>
          <cell r="CV139" t="str">
            <v>0</v>
          </cell>
          <cell r="CW139" t="str">
            <v>0</v>
          </cell>
          <cell r="CX139" t="str">
            <v>0</v>
          </cell>
          <cell r="CY139">
            <v>43118</v>
          </cell>
          <cell r="CZ139">
            <v>186949</v>
          </cell>
          <cell r="DA139">
            <v>0</v>
          </cell>
          <cell r="DB139">
            <v>0</v>
          </cell>
          <cell r="DC139">
            <v>186949</v>
          </cell>
        </row>
        <row r="140">
          <cell r="A140" t="str">
            <v>FS539</v>
          </cell>
          <cell r="B140" t="str">
            <v>DEEKONDA SRINIVAS</v>
          </cell>
          <cell r="C140" t="str">
            <v>Product Engineering</v>
          </cell>
          <cell r="D140" t="str">
            <v>02-05-2025</v>
          </cell>
          <cell r="E140" t="str">
            <v>N.A</v>
          </cell>
          <cell r="F140" t="str">
            <v>2025-10</v>
          </cell>
          <cell r="G140" t="str">
            <v>Success</v>
          </cell>
          <cell r="H140" t="str">
            <v>N.A</v>
          </cell>
          <cell r="I140" t="str">
            <v/>
          </cell>
          <cell r="J140" t="str">
            <v>30</v>
          </cell>
          <cell r="K140" t="str">
            <v>0</v>
          </cell>
          <cell r="L140" t="str">
            <v>0</v>
          </cell>
          <cell r="M140" t="str">
            <v>N.A</v>
          </cell>
          <cell r="N140" t="str">
            <v>0</v>
          </cell>
          <cell r="O140" t="str">
            <v>0</v>
          </cell>
          <cell r="P140" t="str">
            <v>30</v>
          </cell>
          <cell r="Q140" t="str">
            <v>30</v>
          </cell>
          <cell r="R140" t="str">
            <v>Senior Software Engineer</v>
          </cell>
          <cell r="S140" t="str">
            <v>Delivery-IN</v>
          </cell>
          <cell r="T140" t="str">
            <v>Hyderabad</v>
          </cell>
          <cell r="U140" t="str">
            <v xml:space="preserve">Telangana </v>
          </cell>
          <cell r="V140" t="str">
            <v>50100804753783</v>
          </cell>
          <cell r="W140" t="str">
            <v>HDFC BANK</v>
          </cell>
          <cell r="X140" t="str">
            <v>206533</v>
          </cell>
          <cell r="Y140" t="str">
            <v>CCDPD8832J</v>
          </cell>
          <cell r="Z140" t="str">
            <v>83333</v>
          </cell>
          <cell r="AA140">
            <v>83333</v>
          </cell>
          <cell r="AB140">
            <v>0</v>
          </cell>
          <cell r="AC140">
            <v>33333</v>
          </cell>
          <cell r="AD140">
            <v>33333</v>
          </cell>
          <cell r="AE140">
            <v>0</v>
          </cell>
          <cell r="AF140">
            <v>9167</v>
          </cell>
          <cell r="AG140">
            <v>9167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10000</v>
          </cell>
          <cell r="AM140">
            <v>10000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70700</v>
          </cell>
          <cell r="AS140">
            <v>70700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 t="str">
            <v>0</v>
          </cell>
          <cell r="BF140">
            <v>0</v>
          </cell>
          <cell r="BG140">
            <v>0</v>
          </cell>
          <cell r="BH140">
            <v>206533</v>
          </cell>
          <cell r="BI140">
            <v>206533</v>
          </cell>
          <cell r="BJ140">
            <v>0</v>
          </cell>
          <cell r="BK140">
            <v>0</v>
          </cell>
          <cell r="BL140">
            <v>23037</v>
          </cell>
          <cell r="BM140">
            <v>200</v>
          </cell>
          <cell r="BN140">
            <v>0</v>
          </cell>
          <cell r="BO140">
            <v>0</v>
          </cell>
          <cell r="BP140">
            <v>1800</v>
          </cell>
          <cell r="BQ140">
            <v>0</v>
          </cell>
          <cell r="BR140">
            <v>1800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str">
            <v>0</v>
          </cell>
          <cell r="BZ140" t="str">
            <v>0</v>
          </cell>
          <cell r="CA140" t="str">
            <v>0</v>
          </cell>
          <cell r="CB140" t="str">
            <v>0</v>
          </cell>
          <cell r="CC140" t="str">
            <v>0</v>
          </cell>
          <cell r="CD140" t="str">
            <v>0</v>
          </cell>
          <cell r="CE140" t="str">
            <v>0</v>
          </cell>
          <cell r="CF140" t="str">
            <v>0</v>
          </cell>
          <cell r="CG140" t="str">
            <v>0</v>
          </cell>
          <cell r="CH140" t="str">
            <v>0</v>
          </cell>
          <cell r="CI140" t="str">
            <v>0</v>
          </cell>
          <cell r="CJ140" t="str">
            <v>0</v>
          </cell>
          <cell r="CK140" t="str">
            <v>0</v>
          </cell>
          <cell r="CL140" t="str">
            <v>0</v>
          </cell>
          <cell r="CM140" t="str">
            <v>0</v>
          </cell>
          <cell r="CN140" t="str">
            <v>0</v>
          </cell>
          <cell r="CO140" t="str">
            <v>0</v>
          </cell>
          <cell r="CP140" t="str">
            <v>0</v>
          </cell>
          <cell r="CQ140" t="str">
            <v>0</v>
          </cell>
          <cell r="CR140" t="str">
            <v>0</v>
          </cell>
          <cell r="CS140" t="str">
            <v>0</v>
          </cell>
          <cell r="CT140" t="str">
            <v>0</v>
          </cell>
          <cell r="CU140" t="str">
            <v>0</v>
          </cell>
          <cell r="CV140" t="str">
            <v>0</v>
          </cell>
          <cell r="CW140" t="str">
            <v>0</v>
          </cell>
          <cell r="CX140" t="str">
            <v>0</v>
          </cell>
          <cell r="CY140">
            <v>25037</v>
          </cell>
          <cell r="CZ140">
            <v>181496</v>
          </cell>
          <cell r="DA140">
            <v>0</v>
          </cell>
          <cell r="DB140">
            <v>0</v>
          </cell>
          <cell r="DC140">
            <v>181496</v>
          </cell>
        </row>
        <row r="141">
          <cell r="A141" t="str">
            <v>FS540</v>
          </cell>
          <cell r="B141" t="str">
            <v>KUMMARI GNANESHWAR</v>
          </cell>
          <cell r="C141" t="str">
            <v>Product Engineering</v>
          </cell>
          <cell r="D141" t="str">
            <v>02-05-2025</v>
          </cell>
          <cell r="E141" t="str">
            <v>N.A</v>
          </cell>
          <cell r="F141" t="str">
            <v>2025-10</v>
          </cell>
          <cell r="G141" t="str">
            <v>Success</v>
          </cell>
          <cell r="H141" t="str">
            <v>N.A</v>
          </cell>
          <cell r="I141" t="str">
            <v/>
          </cell>
          <cell r="J141" t="str">
            <v>30</v>
          </cell>
          <cell r="K141" t="str">
            <v>0</v>
          </cell>
          <cell r="L141" t="str">
            <v>0</v>
          </cell>
          <cell r="M141" t="str">
            <v>N.A</v>
          </cell>
          <cell r="N141" t="str">
            <v>0</v>
          </cell>
          <cell r="O141" t="str">
            <v>0</v>
          </cell>
          <cell r="P141" t="str">
            <v>30</v>
          </cell>
          <cell r="Q141" t="str">
            <v>30</v>
          </cell>
          <cell r="R141" t="str">
            <v>Senior Software Engineer</v>
          </cell>
          <cell r="S141" t="str">
            <v>Delivery-IN</v>
          </cell>
          <cell r="T141" t="str">
            <v>Hyderabad</v>
          </cell>
          <cell r="U141" t="str">
            <v xml:space="preserve">Telangana </v>
          </cell>
          <cell r="V141" t="str">
            <v>50100804753757</v>
          </cell>
          <cell r="W141" t="str">
            <v>HDFC BANK</v>
          </cell>
          <cell r="X141" t="str">
            <v>148200</v>
          </cell>
          <cell r="Y141" t="str">
            <v>CQOPK0073R</v>
          </cell>
          <cell r="Z141" t="str">
            <v>60000</v>
          </cell>
          <cell r="AA141">
            <v>60000</v>
          </cell>
          <cell r="AB141">
            <v>0</v>
          </cell>
          <cell r="AC141">
            <v>24000</v>
          </cell>
          <cell r="AD141">
            <v>24000</v>
          </cell>
          <cell r="AE141">
            <v>0</v>
          </cell>
          <cell r="AF141">
            <v>6600</v>
          </cell>
          <cell r="AG141">
            <v>6600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10000</v>
          </cell>
          <cell r="AM141">
            <v>10000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47600</v>
          </cell>
          <cell r="AS141">
            <v>47600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 t="str">
            <v>0</v>
          </cell>
          <cell r="BF141">
            <v>0</v>
          </cell>
          <cell r="BG141">
            <v>0</v>
          </cell>
          <cell r="BH141">
            <v>148200</v>
          </cell>
          <cell r="BI141">
            <v>148200</v>
          </cell>
          <cell r="BJ141">
            <v>0</v>
          </cell>
          <cell r="BK141">
            <v>0</v>
          </cell>
          <cell r="BL141">
            <v>10421</v>
          </cell>
          <cell r="BM141">
            <v>200</v>
          </cell>
          <cell r="BN141">
            <v>0</v>
          </cell>
          <cell r="BO141">
            <v>0</v>
          </cell>
          <cell r="BP141">
            <v>1800</v>
          </cell>
          <cell r="BQ141">
            <v>0</v>
          </cell>
          <cell r="BR141">
            <v>1800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str">
            <v>0</v>
          </cell>
          <cell r="BZ141" t="str">
            <v>0</v>
          </cell>
          <cell r="CA141" t="str">
            <v>0</v>
          </cell>
          <cell r="CB141" t="str">
            <v>0</v>
          </cell>
          <cell r="CC141" t="str">
            <v>0</v>
          </cell>
          <cell r="CD141" t="str">
            <v>0</v>
          </cell>
          <cell r="CE141" t="str">
            <v>0</v>
          </cell>
          <cell r="CF141" t="str">
            <v>0</v>
          </cell>
          <cell r="CG141" t="str">
            <v>0</v>
          </cell>
          <cell r="CH141" t="str">
            <v>0</v>
          </cell>
          <cell r="CI141" t="str">
            <v>0</v>
          </cell>
          <cell r="CJ141" t="str">
            <v>0</v>
          </cell>
          <cell r="CK141" t="str">
            <v>0</v>
          </cell>
          <cell r="CL141" t="str">
            <v>0</v>
          </cell>
          <cell r="CM141" t="str">
            <v>0</v>
          </cell>
          <cell r="CN141" t="str">
            <v>0</v>
          </cell>
          <cell r="CO141" t="str">
            <v>0</v>
          </cell>
          <cell r="CP141" t="str">
            <v>0</v>
          </cell>
          <cell r="CQ141" t="str">
            <v>0</v>
          </cell>
          <cell r="CR141" t="str">
            <v>0</v>
          </cell>
          <cell r="CS141" t="str">
            <v>0</v>
          </cell>
          <cell r="CT141" t="str">
            <v>0</v>
          </cell>
          <cell r="CU141" t="str">
            <v>0</v>
          </cell>
          <cell r="CV141" t="str">
            <v>0</v>
          </cell>
          <cell r="CW141" t="str">
            <v>0</v>
          </cell>
          <cell r="CX141" t="str">
            <v>0</v>
          </cell>
          <cell r="CY141">
            <v>12421</v>
          </cell>
          <cell r="CZ141">
            <v>135779</v>
          </cell>
          <cell r="DA141">
            <v>0</v>
          </cell>
          <cell r="DB141">
            <v>0</v>
          </cell>
          <cell r="DC141">
            <v>135779</v>
          </cell>
        </row>
        <row r="142">
          <cell r="A142" t="str">
            <v>FS541</v>
          </cell>
          <cell r="B142" t="str">
            <v>Palakurthi Sudheer</v>
          </cell>
          <cell r="C142" t="str">
            <v>Talent Acquisition</v>
          </cell>
          <cell r="D142" t="str">
            <v>05-05-2025</v>
          </cell>
          <cell r="E142" t="str">
            <v>N.A</v>
          </cell>
          <cell r="F142" t="str">
            <v>2025-10</v>
          </cell>
          <cell r="G142" t="str">
            <v>Success</v>
          </cell>
          <cell r="H142" t="str">
            <v>N.A</v>
          </cell>
          <cell r="I142" t="str">
            <v/>
          </cell>
          <cell r="J142" t="str">
            <v>30</v>
          </cell>
          <cell r="K142" t="str">
            <v>0</v>
          </cell>
          <cell r="L142" t="str">
            <v>0</v>
          </cell>
          <cell r="M142" t="str">
            <v>N.A</v>
          </cell>
          <cell r="N142" t="str">
            <v>0</v>
          </cell>
          <cell r="O142" t="str">
            <v>0</v>
          </cell>
          <cell r="P142" t="str">
            <v>30</v>
          </cell>
          <cell r="Q142" t="str">
            <v>30</v>
          </cell>
          <cell r="R142" t="str">
            <v>Director-Talent Acquistion Americas</v>
          </cell>
          <cell r="S142" t="str">
            <v>US Staffing</v>
          </cell>
          <cell r="T142" t="str">
            <v>Hyderabad</v>
          </cell>
          <cell r="U142" t="str">
            <v xml:space="preserve">Telangana </v>
          </cell>
          <cell r="V142" t="str">
            <v>15541610003118</v>
          </cell>
          <cell r="W142" t="str">
            <v>HDFC BANK</v>
          </cell>
          <cell r="X142" t="str">
            <v>224742</v>
          </cell>
          <cell r="Y142" t="str">
            <v>AVPPP7284H</v>
          </cell>
          <cell r="Z142" t="str">
            <v>90217</v>
          </cell>
          <cell r="AA142">
            <v>90217</v>
          </cell>
          <cell r="AB142">
            <v>0</v>
          </cell>
          <cell r="AC142">
            <v>36087</v>
          </cell>
          <cell r="AD142">
            <v>36087</v>
          </cell>
          <cell r="AE142">
            <v>0</v>
          </cell>
          <cell r="AF142">
            <v>9924</v>
          </cell>
          <cell r="AG142">
            <v>9924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10000</v>
          </cell>
          <cell r="AM142">
            <v>10000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77514</v>
          </cell>
          <cell r="AS142">
            <v>77514</v>
          </cell>
          <cell r="AT142">
            <v>0</v>
          </cell>
          <cell r="AU142">
            <v>0</v>
          </cell>
          <cell r="AV142">
            <v>0</v>
          </cell>
          <cell r="AW142">
            <v>1000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 t="str">
            <v>0</v>
          </cell>
          <cell r="BF142">
            <v>0</v>
          </cell>
          <cell r="BG142">
            <v>1000</v>
          </cell>
          <cell r="BH142">
            <v>224742</v>
          </cell>
          <cell r="BI142">
            <v>224742</v>
          </cell>
          <cell r="BJ142">
            <v>0</v>
          </cell>
          <cell r="BK142">
            <v>0</v>
          </cell>
          <cell r="BL142">
            <v>27449</v>
          </cell>
          <cell r="BM142">
            <v>200</v>
          </cell>
          <cell r="BN142">
            <v>0</v>
          </cell>
          <cell r="BO142">
            <v>0</v>
          </cell>
          <cell r="BP142">
            <v>1800</v>
          </cell>
          <cell r="BQ142">
            <v>0</v>
          </cell>
          <cell r="BR142">
            <v>1800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str">
            <v>0</v>
          </cell>
          <cell r="BZ142" t="str">
            <v>0</v>
          </cell>
          <cell r="CA142" t="str">
            <v>0</v>
          </cell>
          <cell r="CB142" t="str">
            <v>0</v>
          </cell>
          <cell r="CC142" t="str">
            <v>0</v>
          </cell>
          <cell r="CD142" t="str">
            <v>0</v>
          </cell>
          <cell r="CE142" t="str">
            <v>0</v>
          </cell>
          <cell r="CF142" t="str">
            <v>0</v>
          </cell>
          <cell r="CG142" t="str">
            <v>0</v>
          </cell>
          <cell r="CH142" t="str">
            <v>0</v>
          </cell>
          <cell r="CI142" t="str">
            <v>0</v>
          </cell>
          <cell r="CJ142" t="str">
            <v>0</v>
          </cell>
          <cell r="CK142" t="str">
            <v>0</v>
          </cell>
          <cell r="CL142" t="str">
            <v>0</v>
          </cell>
          <cell r="CM142" t="str">
            <v>0</v>
          </cell>
          <cell r="CN142" t="str">
            <v>0</v>
          </cell>
          <cell r="CO142" t="str">
            <v>0</v>
          </cell>
          <cell r="CP142" t="str">
            <v>0</v>
          </cell>
          <cell r="CQ142" t="str">
            <v>0</v>
          </cell>
          <cell r="CR142" t="str">
            <v>0</v>
          </cell>
          <cell r="CS142" t="str">
            <v>0</v>
          </cell>
          <cell r="CT142" t="str">
            <v>0</v>
          </cell>
          <cell r="CU142" t="str">
            <v>0</v>
          </cell>
          <cell r="CV142" t="str">
            <v>0</v>
          </cell>
          <cell r="CW142" t="str">
            <v>0</v>
          </cell>
          <cell r="CX142" t="str">
            <v>0</v>
          </cell>
          <cell r="CY142">
            <v>29449</v>
          </cell>
          <cell r="CZ142">
            <v>195293</v>
          </cell>
          <cell r="DA142">
            <v>0</v>
          </cell>
          <cell r="DB142">
            <v>0</v>
          </cell>
          <cell r="DC142">
            <v>195293</v>
          </cell>
        </row>
        <row r="143">
          <cell r="A143" t="str">
            <v>FS542</v>
          </cell>
          <cell r="B143" t="str">
            <v>Pratti Lakshmana Kumar</v>
          </cell>
          <cell r="C143" t="str">
            <v>HR</v>
          </cell>
          <cell r="D143" t="str">
            <v>07-05-2025</v>
          </cell>
          <cell r="E143" t="str">
            <v>N.A</v>
          </cell>
          <cell r="F143" t="str">
            <v>2025-10</v>
          </cell>
          <cell r="G143" t="str">
            <v>Success</v>
          </cell>
          <cell r="H143" t="str">
            <v>N.A</v>
          </cell>
          <cell r="I143" t="str">
            <v/>
          </cell>
          <cell r="J143" t="str">
            <v>30</v>
          </cell>
          <cell r="K143" t="str">
            <v>0</v>
          </cell>
          <cell r="L143" t="str">
            <v>0</v>
          </cell>
          <cell r="M143" t="str">
            <v>N.A</v>
          </cell>
          <cell r="N143" t="str">
            <v>0</v>
          </cell>
          <cell r="O143" t="str">
            <v>0</v>
          </cell>
          <cell r="P143" t="str">
            <v>30</v>
          </cell>
          <cell r="Q143" t="str">
            <v>30</v>
          </cell>
          <cell r="R143" t="str">
            <v>Manager -HR</v>
          </cell>
          <cell r="S143" t="str">
            <v>Delivery-IN</v>
          </cell>
          <cell r="T143" t="str">
            <v>Hyderabad</v>
          </cell>
          <cell r="U143" t="str">
            <v xml:space="preserve">Telangana </v>
          </cell>
          <cell r="V143" t="str">
            <v>50100196785151</v>
          </cell>
          <cell r="W143" t="str">
            <v>HDFC BANK</v>
          </cell>
          <cell r="X143" t="str">
            <v>128972</v>
          </cell>
          <cell r="Y143" t="str">
            <v>AYXPP2964M</v>
          </cell>
          <cell r="Z143" t="str">
            <v>54190</v>
          </cell>
          <cell r="AA143">
            <v>54190</v>
          </cell>
          <cell r="AB143">
            <v>0</v>
          </cell>
          <cell r="AC143">
            <v>21676</v>
          </cell>
          <cell r="AD143">
            <v>21676</v>
          </cell>
          <cell r="AE143">
            <v>0</v>
          </cell>
          <cell r="AF143">
            <v>5961</v>
          </cell>
          <cell r="AG143">
            <v>5961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10000</v>
          </cell>
          <cell r="AM143">
            <v>10000</v>
          </cell>
          <cell r="AN143">
            <v>0</v>
          </cell>
          <cell r="AO143">
            <v>2200</v>
          </cell>
          <cell r="AP143">
            <v>2200</v>
          </cell>
          <cell r="AQ143">
            <v>0</v>
          </cell>
          <cell r="AR143">
            <v>34945</v>
          </cell>
          <cell r="AS143">
            <v>34945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 t="str">
            <v>0</v>
          </cell>
          <cell r="BF143">
            <v>0</v>
          </cell>
          <cell r="BG143">
            <v>0</v>
          </cell>
          <cell r="BH143">
            <v>128972</v>
          </cell>
          <cell r="BI143">
            <v>128972</v>
          </cell>
          <cell r="BJ143">
            <v>2200</v>
          </cell>
          <cell r="BK143">
            <v>0</v>
          </cell>
          <cell r="BL143">
            <v>0</v>
          </cell>
          <cell r="BM143">
            <v>200</v>
          </cell>
          <cell r="BN143">
            <v>0</v>
          </cell>
          <cell r="BO143">
            <v>0</v>
          </cell>
          <cell r="BP143">
            <v>6503</v>
          </cell>
          <cell r="BQ143">
            <v>0</v>
          </cell>
          <cell r="BR143">
            <v>6503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str">
            <v>0</v>
          </cell>
          <cell r="BZ143" t="str">
            <v>0</v>
          </cell>
          <cell r="CA143" t="str">
            <v>0</v>
          </cell>
          <cell r="CB143" t="str">
            <v>0</v>
          </cell>
          <cell r="CC143" t="str">
            <v>0</v>
          </cell>
          <cell r="CD143" t="str">
            <v>0</v>
          </cell>
          <cell r="CE143" t="str">
            <v>0</v>
          </cell>
          <cell r="CF143" t="str">
            <v>0</v>
          </cell>
          <cell r="CG143" t="str">
            <v>0</v>
          </cell>
          <cell r="CH143" t="str">
            <v>0</v>
          </cell>
          <cell r="CI143" t="str">
            <v>0</v>
          </cell>
          <cell r="CJ143" t="str">
            <v>0</v>
          </cell>
          <cell r="CK143" t="str">
            <v>0</v>
          </cell>
          <cell r="CL143" t="str">
            <v>0</v>
          </cell>
          <cell r="CM143" t="str">
            <v>0</v>
          </cell>
          <cell r="CN143" t="str">
            <v>0</v>
          </cell>
          <cell r="CO143" t="str">
            <v>0</v>
          </cell>
          <cell r="CP143" t="str">
            <v>0</v>
          </cell>
          <cell r="CQ143" t="str">
            <v>0</v>
          </cell>
          <cell r="CR143" t="str">
            <v>0</v>
          </cell>
          <cell r="CS143" t="str">
            <v>0</v>
          </cell>
          <cell r="CT143" t="str">
            <v>0</v>
          </cell>
          <cell r="CU143" t="str">
            <v>0</v>
          </cell>
          <cell r="CV143" t="str">
            <v>0</v>
          </cell>
          <cell r="CW143" t="str">
            <v>0</v>
          </cell>
          <cell r="CX143" t="str">
            <v>0</v>
          </cell>
          <cell r="CY143">
            <v>8903</v>
          </cell>
          <cell r="CZ143">
            <v>120069</v>
          </cell>
          <cell r="DA143">
            <v>0</v>
          </cell>
          <cell r="DB143">
            <v>0</v>
          </cell>
          <cell r="DC143">
            <v>120069</v>
          </cell>
        </row>
        <row r="144">
          <cell r="A144" t="str">
            <v>FS543</v>
          </cell>
          <cell r="B144" t="str">
            <v>TIRANAM SRI RAVI CHANDRA</v>
          </cell>
          <cell r="C144" t="str">
            <v>Internal IT</v>
          </cell>
          <cell r="D144" t="str">
            <v>12-05-2025</v>
          </cell>
          <cell r="E144" t="str">
            <v>N.A</v>
          </cell>
          <cell r="F144" t="str">
            <v>2025-10</v>
          </cell>
          <cell r="G144" t="str">
            <v>Success</v>
          </cell>
          <cell r="H144" t="str">
            <v>N.A</v>
          </cell>
          <cell r="I144" t="str">
            <v/>
          </cell>
          <cell r="J144" t="str">
            <v>30</v>
          </cell>
          <cell r="K144" t="str">
            <v>0</v>
          </cell>
          <cell r="L144" t="str">
            <v>0</v>
          </cell>
          <cell r="M144" t="str">
            <v>N.A</v>
          </cell>
          <cell r="N144" t="str">
            <v>0</v>
          </cell>
          <cell r="O144" t="str">
            <v>0</v>
          </cell>
          <cell r="P144" t="str">
            <v>30</v>
          </cell>
          <cell r="Q144" t="str">
            <v>30</v>
          </cell>
          <cell r="R144" t="str">
            <v>Lead -IT Infrastructure</v>
          </cell>
          <cell r="S144" t="str">
            <v>IT Ops-IN</v>
          </cell>
          <cell r="T144" t="str">
            <v>Hyderabad</v>
          </cell>
          <cell r="U144" t="str">
            <v xml:space="preserve">Telangana </v>
          </cell>
          <cell r="V144" t="str">
            <v>32989690434</v>
          </cell>
          <cell r="W144" t="str">
            <v>STATE BANK OF INDIA</v>
          </cell>
          <cell r="X144" t="str">
            <v>51775</v>
          </cell>
          <cell r="Y144" t="str">
            <v>BAQPT3369C</v>
          </cell>
          <cell r="Z144" t="str">
            <v>21430</v>
          </cell>
          <cell r="AA144">
            <v>21430</v>
          </cell>
          <cell r="AB144">
            <v>0</v>
          </cell>
          <cell r="AC144">
            <v>8572</v>
          </cell>
          <cell r="AD144">
            <v>8572</v>
          </cell>
          <cell r="AE144">
            <v>0</v>
          </cell>
          <cell r="AF144">
            <v>2357</v>
          </cell>
          <cell r="AG144">
            <v>2357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5358</v>
          </cell>
          <cell r="AM144">
            <v>5358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14058</v>
          </cell>
          <cell r="AS144">
            <v>14058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 t="str">
            <v>0</v>
          </cell>
          <cell r="BF144">
            <v>0</v>
          </cell>
          <cell r="BG144">
            <v>0</v>
          </cell>
          <cell r="BH144">
            <v>51775</v>
          </cell>
          <cell r="BI144">
            <v>51775</v>
          </cell>
          <cell r="BJ144">
            <v>0</v>
          </cell>
          <cell r="BK144">
            <v>0</v>
          </cell>
          <cell r="BL144">
            <v>0</v>
          </cell>
          <cell r="BM144">
            <v>200</v>
          </cell>
          <cell r="BN144">
            <v>0</v>
          </cell>
          <cell r="BO144">
            <v>0</v>
          </cell>
          <cell r="BP144">
            <v>1800</v>
          </cell>
          <cell r="BQ144">
            <v>0</v>
          </cell>
          <cell r="BR144">
            <v>1800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str">
            <v>0</v>
          </cell>
          <cell r="BZ144" t="str">
            <v>0</v>
          </cell>
          <cell r="CA144" t="str">
            <v>0</v>
          </cell>
          <cell r="CB144" t="str">
            <v>0</v>
          </cell>
          <cell r="CC144" t="str">
            <v>0</v>
          </cell>
          <cell r="CD144" t="str">
            <v>0</v>
          </cell>
          <cell r="CE144" t="str">
            <v>0</v>
          </cell>
          <cell r="CF144" t="str">
            <v>0</v>
          </cell>
          <cell r="CG144" t="str">
            <v>0</v>
          </cell>
          <cell r="CH144" t="str">
            <v>0</v>
          </cell>
          <cell r="CI144" t="str">
            <v>0</v>
          </cell>
          <cell r="CJ144" t="str">
            <v>0</v>
          </cell>
          <cell r="CK144" t="str">
            <v>0</v>
          </cell>
          <cell r="CL144" t="str">
            <v>0</v>
          </cell>
          <cell r="CM144" t="str">
            <v>0</v>
          </cell>
          <cell r="CN144" t="str">
            <v>0</v>
          </cell>
          <cell r="CO144" t="str">
            <v>0</v>
          </cell>
          <cell r="CP144" t="str">
            <v>0</v>
          </cell>
          <cell r="CQ144" t="str">
            <v>0</v>
          </cell>
          <cell r="CR144" t="str">
            <v>0</v>
          </cell>
          <cell r="CS144" t="str">
            <v>0</v>
          </cell>
          <cell r="CT144" t="str">
            <v>0</v>
          </cell>
          <cell r="CU144" t="str">
            <v>0</v>
          </cell>
          <cell r="CV144" t="str">
            <v>0</v>
          </cell>
          <cell r="CW144" t="str">
            <v>0</v>
          </cell>
          <cell r="CX144" t="str">
            <v>0</v>
          </cell>
          <cell r="CY144">
            <v>2000</v>
          </cell>
          <cell r="CZ144">
            <v>49775</v>
          </cell>
          <cell r="DA144">
            <v>0</v>
          </cell>
          <cell r="DB144">
            <v>0</v>
          </cell>
          <cell r="DC144">
            <v>49775</v>
          </cell>
        </row>
        <row r="145">
          <cell r="A145" t="str">
            <v>FS544</v>
          </cell>
          <cell r="B145" t="str">
            <v>Najmudin Rain</v>
          </cell>
          <cell r="C145" t="str">
            <v>Product Engineering</v>
          </cell>
          <cell r="D145" t="str">
            <v>12-05-2025</v>
          </cell>
          <cell r="E145" t="str">
            <v>N.A</v>
          </cell>
          <cell r="F145" t="str">
            <v>2025-10</v>
          </cell>
          <cell r="G145" t="str">
            <v>Success</v>
          </cell>
          <cell r="H145" t="str">
            <v>N.A</v>
          </cell>
          <cell r="I145" t="str">
            <v/>
          </cell>
          <cell r="J145" t="str">
            <v>30</v>
          </cell>
          <cell r="K145" t="str">
            <v>0</v>
          </cell>
          <cell r="L145" t="str">
            <v>0</v>
          </cell>
          <cell r="M145" t="str">
            <v>N.A</v>
          </cell>
          <cell r="N145" t="str">
            <v>0</v>
          </cell>
          <cell r="O145" t="str">
            <v>0</v>
          </cell>
          <cell r="P145" t="str">
            <v>30</v>
          </cell>
          <cell r="Q145" t="str">
            <v>30</v>
          </cell>
          <cell r="R145" t="str">
            <v>Software Engineer</v>
          </cell>
          <cell r="S145" t="str">
            <v>Delivery-IN</v>
          </cell>
          <cell r="T145" t="str">
            <v>Hyderabad</v>
          </cell>
          <cell r="U145" t="str">
            <v xml:space="preserve">Telangana </v>
          </cell>
          <cell r="V145" t="str">
            <v>50100580581100</v>
          </cell>
          <cell r="W145" t="str">
            <v>HDFC BANK</v>
          </cell>
          <cell r="X145" t="str">
            <v>119200</v>
          </cell>
          <cell r="Y145" t="str">
            <v>FTGPR4946J</v>
          </cell>
          <cell r="Z145" t="str">
            <v>34000</v>
          </cell>
          <cell r="AA145">
            <v>34000</v>
          </cell>
          <cell r="AB145">
            <v>0</v>
          </cell>
          <cell r="AC145">
            <v>13600</v>
          </cell>
          <cell r="AD145">
            <v>13600</v>
          </cell>
          <cell r="AE145">
            <v>0</v>
          </cell>
          <cell r="AF145">
            <v>3740</v>
          </cell>
          <cell r="AG145">
            <v>3740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8500</v>
          </cell>
          <cell r="AM145">
            <v>8500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23360</v>
          </cell>
          <cell r="AS145">
            <v>23360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16000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 t="str">
            <v>0</v>
          </cell>
          <cell r="BF145">
            <v>20000</v>
          </cell>
          <cell r="BG145">
            <v>36000</v>
          </cell>
          <cell r="BH145">
            <v>119200</v>
          </cell>
          <cell r="BI145">
            <v>99200</v>
          </cell>
          <cell r="BJ145">
            <v>0</v>
          </cell>
          <cell r="BK145">
            <v>0</v>
          </cell>
          <cell r="BL145">
            <v>0</v>
          </cell>
          <cell r="BM145">
            <v>200</v>
          </cell>
          <cell r="BN145">
            <v>0</v>
          </cell>
          <cell r="BO145">
            <v>0</v>
          </cell>
          <cell r="BP145">
            <v>1800</v>
          </cell>
          <cell r="BQ145">
            <v>0</v>
          </cell>
          <cell r="BR145">
            <v>1800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str">
            <v>0</v>
          </cell>
          <cell r="BZ145" t="str">
            <v>0</v>
          </cell>
          <cell r="CA145" t="str">
            <v>0</v>
          </cell>
          <cell r="CB145" t="str">
            <v>0</v>
          </cell>
          <cell r="CC145" t="str">
            <v>0</v>
          </cell>
          <cell r="CD145" t="str">
            <v>0</v>
          </cell>
          <cell r="CE145" t="str">
            <v>0</v>
          </cell>
          <cell r="CF145" t="str">
            <v>0</v>
          </cell>
          <cell r="CG145" t="str">
            <v>0</v>
          </cell>
          <cell r="CH145" t="str">
            <v>0</v>
          </cell>
          <cell r="CI145" t="str">
            <v>0</v>
          </cell>
          <cell r="CJ145" t="str">
            <v>0</v>
          </cell>
          <cell r="CK145" t="str">
            <v>0</v>
          </cell>
          <cell r="CL145" t="str">
            <v>0</v>
          </cell>
          <cell r="CM145" t="str">
            <v>0</v>
          </cell>
          <cell r="CN145" t="str">
            <v>0</v>
          </cell>
          <cell r="CO145" t="str">
            <v>0</v>
          </cell>
          <cell r="CP145" t="str">
            <v>0</v>
          </cell>
          <cell r="CQ145" t="str">
            <v>0</v>
          </cell>
          <cell r="CR145" t="str">
            <v>0</v>
          </cell>
          <cell r="CS145" t="str">
            <v>0</v>
          </cell>
          <cell r="CT145" t="str">
            <v>0</v>
          </cell>
          <cell r="CU145" t="str">
            <v>0</v>
          </cell>
          <cell r="CV145" t="str">
            <v>0</v>
          </cell>
          <cell r="CW145" t="str">
            <v>0</v>
          </cell>
          <cell r="CX145" t="str">
            <v>0</v>
          </cell>
          <cell r="CY145">
            <v>2000</v>
          </cell>
          <cell r="CZ145">
            <v>117200</v>
          </cell>
          <cell r="DA145">
            <v>0</v>
          </cell>
          <cell r="DB145">
            <v>0</v>
          </cell>
          <cell r="DC145">
            <v>117200</v>
          </cell>
        </row>
        <row r="146">
          <cell r="A146" t="str">
            <v>FS546</v>
          </cell>
          <cell r="B146" t="str">
            <v>Nisanth K P</v>
          </cell>
          <cell r="C146" t="str">
            <v>Product Engineering</v>
          </cell>
          <cell r="D146" t="str">
            <v>22-05-2025</v>
          </cell>
          <cell r="E146" t="str">
            <v>N.A</v>
          </cell>
          <cell r="F146" t="str">
            <v>2025-10</v>
          </cell>
          <cell r="G146" t="str">
            <v>Success</v>
          </cell>
          <cell r="H146" t="str">
            <v>N.A</v>
          </cell>
          <cell r="I146" t="str">
            <v/>
          </cell>
          <cell r="J146" t="str">
            <v>30</v>
          </cell>
          <cell r="K146" t="str">
            <v>0</v>
          </cell>
          <cell r="L146" t="str">
            <v>0</v>
          </cell>
          <cell r="M146" t="str">
            <v>N.A</v>
          </cell>
          <cell r="N146" t="str">
            <v>0</v>
          </cell>
          <cell r="O146" t="str">
            <v>0</v>
          </cell>
          <cell r="P146" t="str">
            <v>30</v>
          </cell>
          <cell r="Q146" t="str">
            <v>30</v>
          </cell>
          <cell r="R146" t="str">
            <v>Lead Software Engineer</v>
          </cell>
          <cell r="S146" t="str">
            <v>Product Engineering</v>
          </cell>
          <cell r="T146" t="str">
            <v>Hyderabad</v>
          </cell>
          <cell r="U146" t="str">
            <v xml:space="preserve">Telangana </v>
          </cell>
          <cell r="V146" t="str">
            <v>50100160244815</v>
          </cell>
          <cell r="W146" t="str">
            <v>HDFC BANK</v>
          </cell>
          <cell r="X146" t="str">
            <v>281800</v>
          </cell>
          <cell r="Y146" t="str">
            <v>AVDPN7289G</v>
          </cell>
          <cell r="Z146" t="str">
            <v>110000</v>
          </cell>
          <cell r="AA146">
            <v>110000</v>
          </cell>
          <cell r="AB146">
            <v>0</v>
          </cell>
          <cell r="AC146">
            <v>44000</v>
          </cell>
          <cell r="AD146">
            <v>44000</v>
          </cell>
          <cell r="AE146">
            <v>0</v>
          </cell>
          <cell r="AF146">
            <v>12100</v>
          </cell>
          <cell r="AG146">
            <v>12100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10000</v>
          </cell>
          <cell r="AM146">
            <v>10000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85700</v>
          </cell>
          <cell r="AS146">
            <v>85700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20000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 t="str">
            <v>0</v>
          </cell>
          <cell r="BF146">
            <v>0</v>
          </cell>
          <cell r="BG146">
            <v>20000</v>
          </cell>
          <cell r="BH146">
            <v>281800</v>
          </cell>
          <cell r="BI146">
            <v>281800</v>
          </cell>
          <cell r="BJ146">
            <v>0</v>
          </cell>
          <cell r="BK146">
            <v>0</v>
          </cell>
          <cell r="BL146">
            <v>52943</v>
          </cell>
          <cell r="BM146">
            <v>200</v>
          </cell>
          <cell r="BN146">
            <v>0</v>
          </cell>
          <cell r="BO146">
            <v>0</v>
          </cell>
          <cell r="BP146">
            <v>13200</v>
          </cell>
          <cell r="BQ146">
            <v>0</v>
          </cell>
          <cell r="BR146">
            <v>13200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str">
            <v>0</v>
          </cell>
          <cell r="BZ146" t="str">
            <v>0</v>
          </cell>
          <cell r="CA146" t="str">
            <v>0</v>
          </cell>
          <cell r="CB146" t="str">
            <v>0</v>
          </cell>
          <cell r="CC146" t="str">
            <v>0</v>
          </cell>
          <cell r="CD146" t="str">
            <v>0</v>
          </cell>
          <cell r="CE146" t="str">
            <v>0</v>
          </cell>
          <cell r="CF146" t="str">
            <v>0</v>
          </cell>
          <cell r="CG146" t="str">
            <v>0</v>
          </cell>
          <cell r="CH146" t="str">
            <v>0</v>
          </cell>
          <cell r="CI146" t="str">
            <v>0</v>
          </cell>
          <cell r="CJ146" t="str">
            <v>0</v>
          </cell>
          <cell r="CK146" t="str">
            <v>0</v>
          </cell>
          <cell r="CL146" t="str">
            <v>0</v>
          </cell>
          <cell r="CM146" t="str">
            <v>0</v>
          </cell>
          <cell r="CN146" t="str">
            <v>0</v>
          </cell>
          <cell r="CO146" t="str">
            <v>0</v>
          </cell>
          <cell r="CP146" t="str">
            <v>0</v>
          </cell>
          <cell r="CQ146" t="str">
            <v>0</v>
          </cell>
          <cell r="CR146" t="str">
            <v>0</v>
          </cell>
          <cell r="CS146" t="str">
            <v>0</v>
          </cell>
          <cell r="CT146" t="str">
            <v>0</v>
          </cell>
          <cell r="CU146" t="str">
            <v>0</v>
          </cell>
          <cell r="CV146" t="str">
            <v>0</v>
          </cell>
          <cell r="CW146" t="str">
            <v>0</v>
          </cell>
          <cell r="CX146" t="str">
            <v>0</v>
          </cell>
          <cell r="CY146">
            <v>66343</v>
          </cell>
          <cell r="CZ146">
            <v>215457</v>
          </cell>
          <cell r="DA146">
            <v>0</v>
          </cell>
          <cell r="DB146">
            <v>0</v>
          </cell>
          <cell r="DC146">
            <v>215457</v>
          </cell>
        </row>
        <row r="147">
          <cell r="A147" t="str">
            <v>FS548</v>
          </cell>
          <cell r="B147" t="str">
            <v>Suryaprakash Mandalaneni</v>
          </cell>
          <cell r="C147" t="str">
            <v>Product Engineering</v>
          </cell>
          <cell r="D147" t="str">
            <v>03-06-2025</v>
          </cell>
          <cell r="E147" t="str">
            <v>N.A</v>
          </cell>
          <cell r="F147" t="str">
            <v>2025-10</v>
          </cell>
          <cell r="G147" t="str">
            <v>Success</v>
          </cell>
          <cell r="H147" t="str">
            <v>N.A</v>
          </cell>
          <cell r="I147" t="str">
            <v/>
          </cell>
          <cell r="J147" t="str">
            <v>30</v>
          </cell>
          <cell r="K147" t="str">
            <v>0</v>
          </cell>
          <cell r="L147" t="str">
            <v>0</v>
          </cell>
          <cell r="M147" t="str">
            <v>N.A</v>
          </cell>
          <cell r="N147" t="str">
            <v>0</v>
          </cell>
          <cell r="O147" t="str">
            <v>0</v>
          </cell>
          <cell r="P147" t="str">
            <v>30</v>
          </cell>
          <cell r="Q147" t="str">
            <v>30</v>
          </cell>
          <cell r="R147" t="str">
            <v>Senior Software Engineer</v>
          </cell>
          <cell r="S147" t="str">
            <v>Delivery-IN</v>
          </cell>
          <cell r="T147" t="str">
            <v>Hyderabad</v>
          </cell>
          <cell r="U147" t="str">
            <v xml:space="preserve">Telangana </v>
          </cell>
          <cell r="V147" t="str">
            <v>50100250903840</v>
          </cell>
          <cell r="W147" t="str">
            <v>HDFC BANK</v>
          </cell>
          <cell r="X147" t="str">
            <v>220117</v>
          </cell>
          <cell r="Y147" t="str">
            <v>CUCPM2914F</v>
          </cell>
          <cell r="Z147" t="str">
            <v>80767</v>
          </cell>
          <cell r="AA147">
            <v>80767</v>
          </cell>
          <cell r="AB147">
            <v>0</v>
          </cell>
          <cell r="AC147">
            <v>32307</v>
          </cell>
          <cell r="AD147">
            <v>32307</v>
          </cell>
          <cell r="AE147">
            <v>0</v>
          </cell>
          <cell r="AF147">
            <v>8884</v>
          </cell>
          <cell r="AG147">
            <v>8884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10000</v>
          </cell>
          <cell r="AM147">
            <v>10000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68159</v>
          </cell>
          <cell r="AS147">
            <v>68159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20000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 t="str">
            <v>0</v>
          </cell>
          <cell r="BF147">
            <v>0</v>
          </cell>
          <cell r="BG147">
            <v>20000</v>
          </cell>
          <cell r="BH147">
            <v>220117</v>
          </cell>
          <cell r="BI147">
            <v>220117</v>
          </cell>
          <cell r="BJ147">
            <v>0</v>
          </cell>
          <cell r="BK147">
            <v>0</v>
          </cell>
          <cell r="BL147">
            <v>20308</v>
          </cell>
          <cell r="BM147">
            <v>200</v>
          </cell>
          <cell r="BN147">
            <v>0</v>
          </cell>
          <cell r="BO147">
            <v>0</v>
          </cell>
          <cell r="BP147">
            <v>1800</v>
          </cell>
          <cell r="BQ147">
            <v>0</v>
          </cell>
          <cell r="BR147">
            <v>1800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str">
            <v>0</v>
          </cell>
          <cell r="BZ147" t="str">
            <v>0</v>
          </cell>
          <cell r="CA147" t="str">
            <v>0</v>
          </cell>
          <cell r="CB147" t="str">
            <v>0</v>
          </cell>
          <cell r="CC147" t="str">
            <v>0</v>
          </cell>
          <cell r="CD147" t="str">
            <v>0</v>
          </cell>
          <cell r="CE147" t="str">
            <v>0</v>
          </cell>
          <cell r="CF147" t="str">
            <v>0</v>
          </cell>
          <cell r="CG147" t="str">
            <v>0</v>
          </cell>
          <cell r="CH147" t="str">
            <v>0</v>
          </cell>
          <cell r="CI147" t="str">
            <v>0</v>
          </cell>
          <cell r="CJ147" t="str">
            <v>0</v>
          </cell>
          <cell r="CK147" t="str">
            <v>0</v>
          </cell>
          <cell r="CL147" t="str">
            <v>0</v>
          </cell>
          <cell r="CM147" t="str">
            <v>0</v>
          </cell>
          <cell r="CN147" t="str">
            <v>0</v>
          </cell>
          <cell r="CO147" t="str">
            <v>0</v>
          </cell>
          <cell r="CP147" t="str">
            <v>0</v>
          </cell>
          <cell r="CQ147" t="str">
            <v>0</v>
          </cell>
          <cell r="CR147" t="str">
            <v>0</v>
          </cell>
          <cell r="CS147" t="str">
            <v>0</v>
          </cell>
          <cell r="CT147" t="str">
            <v>0</v>
          </cell>
          <cell r="CU147" t="str">
            <v>0</v>
          </cell>
          <cell r="CV147" t="str">
            <v>0</v>
          </cell>
          <cell r="CW147" t="str">
            <v>0</v>
          </cell>
          <cell r="CX147" t="str">
            <v>0</v>
          </cell>
          <cell r="CY147">
            <v>22308</v>
          </cell>
          <cell r="CZ147">
            <v>197809</v>
          </cell>
          <cell r="DA147">
            <v>0</v>
          </cell>
          <cell r="DB147">
            <v>0</v>
          </cell>
          <cell r="DC147">
            <v>197809</v>
          </cell>
        </row>
        <row r="148">
          <cell r="A148" t="str">
            <v>FS549</v>
          </cell>
          <cell r="B148" t="str">
            <v>Tanguturi Madhu Latha</v>
          </cell>
          <cell r="C148" t="str">
            <v>Talent Acquisition</v>
          </cell>
          <cell r="D148" t="str">
            <v>03-06-2025</v>
          </cell>
          <cell r="E148" t="str">
            <v>N.A</v>
          </cell>
          <cell r="F148" t="str">
            <v>2025-10</v>
          </cell>
          <cell r="G148" t="str">
            <v>Success</v>
          </cell>
          <cell r="H148" t="str">
            <v>N.A</v>
          </cell>
          <cell r="I148" t="str">
            <v/>
          </cell>
          <cell r="J148" t="str">
            <v>30</v>
          </cell>
          <cell r="K148" t="str">
            <v>0</v>
          </cell>
          <cell r="L148" t="str">
            <v>0</v>
          </cell>
          <cell r="M148" t="str">
            <v>N.A</v>
          </cell>
          <cell r="N148" t="str">
            <v>0</v>
          </cell>
          <cell r="O148" t="str">
            <v>0</v>
          </cell>
          <cell r="P148" t="str">
            <v>30</v>
          </cell>
          <cell r="Q148" t="str">
            <v>30</v>
          </cell>
          <cell r="R148" t="str">
            <v>Executive- Talent Acquisition</v>
          </cell>
          <cell r="S148" t="str">
            <v>Recruitment-IN</v>
          </cell>
          <cell r="T148" t="str">
            <v>Hyderabad</v>
          </cell>
          <cell r="U148" t="str">
            <v xml:space="preserve">Telangana </v>
          </cell>
          <cell r="V148" t="str">
            <v>50100815930580</v>
          </cell>
          <cell r="W148" t="str">
            <v>HDFC BANK</v>
          </cell>
          <cell r="X148" t="str">
            <v>15333</v>
          </cell>
          <cell r="Y148" t="str">
            <v>HBZPM2780J</v>
          </cell>
          <cell r="Z148" t="str">
            <v>6853</v>
          </cell>
          <cell r="AA148">
            <v>6853</v>
          </cell>
          <cell r="AB148">
            <v>0</v>
          </cell>
          <cell r="AC148">
            <v>2741</v>
          </cell>
          <cell r="AD148">
            <v>2741</v>
          </cell>
          <cell r="AE148">
            <v>0</v>
          </cell>
          <cell r="AF148">
            <v>754</v>
          </cell>
          <cell r="AG148">
            <v>754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1713</v>
          </cell>
          <cell r="AM148">
            <v>1713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3272</v>
          </cell>
          <cell r="AS148">
            <v>3272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 t="str">
            <v>0</v>
          </cell>
          <cell r="BF148">
            <v>0</v>
          </cell>
          <cell r="BG148">
            <v>0</v>
          </cell>
          <cell r="BH148">
            <v>15333</v>
          </cell>
          <cell r="BI148">
            <v>15333</v>
          </cell>
          <cell r="BJ148">
            <v>0</v>
          </cell>
          <cell r="BK148">
            <v>0</v>
          </cell>
          <cell r="BL148">
            <v>0</v>
          </cell>
          <cell r="BM148">
            <v>150</v>
          </cell>
          <cell r="BN148">
            <v>0</v>
          </cell>
          <cell r="BO148">
            <v>0</v>
          </cell>
          <cell r="BP148">
            <v>1800</v>
          </cell>
          <cell r="BQ148">
            <v>0</v>
          </cell>
          <cell r="BR148">
            <v>1800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str">
            <v>0</v>
          </cell>
          <cell r="BZ148" t="str">
            <v>0</v>
          </cell>
          <cell r="CA148" t="str">
            <v>0</v>
          </cell>
          <cell r="CB148" t="str">
            <v>0</v>
          </cell>
          <cell r="CC148" t="str">
            <v>0</v>
          </cell>
          <cell r="CD148" t="str">
            <v>0</v>
          </cell>
          <cell r="CE148" t="str">
            <v>0</v>
          </cell>
          <cell r="CF148" t="str">
            <v>0</v>
          </cell>
          <cell r="CG148" t="str">
            <v>0</v>
          </cell>
          <cell r="CH148" t="str">
            <v>0</v>
          </cell>
          <cell r="CI148" t="str">
            <v>0</v>
          </cell>
          <cell r="CJ148" t="str">
            <v>0</v>
          </cell>
          <cell r="CK148" t="str">
            <v>0</v>
          </cell>
          <cell r="CL148" t="str">
            <v>0</v>
          </cell>
          <cell r="CM148" t="str">
            <v>0</v>
          </cell>
          <cell r="CN148" t="str">
            <v>0</v>
          </cell>
          <cell r="CO148" t="str">
            <v>0</v>
          </cell>
          <cell r="CP148" t="str">
            <v>0</v>
          </cell>
          <cell r="CQ148" t="str">
            <v>0</v>
          </cell>
          <cell r="CR148" t="str">
            <v>0</v>
          </cell>
          <cell r="CS148" t="str">
            <v>0</v>
          </cell>
          <cell r="CT148" t="str">
            <v>0</v>
          </cell>
          <cell r="CU148" t="str">
            <v>0</v>
          </cell>
          <cell r="CV148" t="str">
            <v>0</v>
          </cell>
          <cell r="CW148" t="str">
            <v>0</v>
          </cell>
          <cell r="CX148" t="str">
            <v>0</v>
          </cell>
          <cell r="CY148">
            <v>1950</v>
          </cell>
          <cell r="CZ148">
            <v>13383</v>
          </cell>
          <cell r="DA148">
            <v>0</v>
          </cell>
          <cell r="DB148">
            <v>0</v>
          </cell>
          <cell r="DC148">
            <v>13383</v>
          </cell>
        </row>
        <row r="149">
          <cell r="A149" t="str">
            <v>FS550</v>
          </cell>
          <cell r="B149" t="str">
            <v>Neredugomma Rohith Rao</v>
          </cell>
          <cell r="C149" t="str">
            <v>Product Engineering</v>
          </cell>
          <cell r="D149" t="str">
            <v>05-06-2025</v>
          </cell>
          <cell r="E149" t="str">
            <v>N.A</v>
          </cell>
          <cell r="F149" t="str">
            <v>2025-10</v>
          </cell>
          <cell r="G149" t="str">
            <v>Success</v>
          </cell>
          <cell r="H149" t="str">
            <v>N.A</v>
          </cell>
          <cell r="I149" t="str">
            <v/>
          </cell>
          <cell r="J149" t="str">
            <v>30</v>
          </cell>
          <cell r="K149" t="str">
            <v>0</v>
          </cell>
          <cell r="L149" t="str">
            <v>0</v>
          </cell>
          <cell r="M149" t="str">
            <v>N.A</v>
          </cell>
          <cell r="N149" t="str">
            <v>0</v>
          </cell>
          <cell r="O149" t="str">
            <v>0</v>
          </cell>
          <cell r="P149" t="str">
            <v>30</v>
          </cell>
          <cell r="Q149" t="str">
            <v>30</v>
          </cell>
          <cell r="R149" t="str">
            <v>Lead Software Engineer</v>
          </cell>
          <cell r="S149" t="str">
            <v>Delivery-IN</v>
          </cell>
          <cell r="T149" t="str">
            <v>Hyderabad</v>
          </cell>
          <cell r="U149" t="str">
            <v xml:space="preserve">Telangana </v>
          </cell>
          <cell r="V149" t="str">
            <v>50100726406692</v>
          </cell>
          <cell r="W149" t="str">
            <v>HDFC BANK</v>
          </cell>
          <cell r="X149" t="str">
            <v>253817</v>
          </cell>
          <cell r="Y149" t="str">
            <v>AWVPN8678A</v>
          </cell>
          <cell r="Z149" t="str">
            <v>93847</v>
          </cell>
          <cell r="AA149">
            <v>93847</v>
          </cell>
          <cell r="AB149">
            <v>0</v>
          </cell>
          <cell r="AC149">
            <v>37539</v>
          </cell>
          <cell r="AD149">
            <v>37539</v>
          </cell>
          <cell r="AE149">
            <v>0</v>
          </cell>
          <cell r="AF149">
            <v>10323</v>
          </cell>
          <cell r="AG149">
            <v>10323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10000</v>
          </cell>
          <cell r="AM149">
            <v>10000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81108</v>
          </cell>
          <cell r="AS149">
            <v>81108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21000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 t="str">
            <v>0</v>
          </cell>
          <cell r="BF149">
            <v>0</v>
          </cell>
          <cell r="BG149">
            <v>21000</v>
          </cell>
          <cell r="BH149">
            <v>253817</v>
          </cell>
          <cell r="BI149">
            <v>253817</v>
          </cell>
          <cell r="BJ149">
            <v>0</v>
          </cell>
          <cell r="BK149">
            <v>0</v>
          </cell>
          <cell r="BL149">
            <v>28412</v>
          </cell>
          <cell r="BM149">
            <v>200</v>
          </cell>
          <cell r="BN149">
            <v>0</v>
          </cell>
          <cell r="BO149">
            <v>0</v>
          </cell>
          <cell r="BP149">
            <v>1800</v>
          </cell>
          <cell r="BQ149">
            <v>0</v>
          </cell>
          <cell r="BR149">
            <v>1800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str">
            <v>0</v>
          </cell>
          <cell r="BZ149" t="str">
            <v>0</v>
          </cell>
          <cell r="CA149" t="str">
            <v>0</v>
          </cell>
          <cell r="CB149" t="str">
            <v>0</v>
          </cell>
          <cell r="CC149" t="str">
            <v>0</v>
          </cell>
          <cell r="CD149" t="str">
            <v>0</v>
          </cell>
          <cell r="CE149" t="str">
            <v>0</v>
          </cell>
          <cell r="CF149" t="str">
            <v>0</v>
          </cell>
          <cell r="CG149" t="str">
            <v>0</v>
          </cell>
          <cell r="CH149" t="str">
            <v>0</v>
          </cell>
          <cell r="CI149" t="str">
            <v>0</v>
          </cell>
          <cell r="CJ149" t="str">
            <v>0</v>
          </cell>
          <cell r="CK149" t="str">
            <v>0</v>
          </cell>
          <cell r="CL149" t="str">
            <v>0</v>
          </cell>
          <cell r="CM149" t="str">
            <v>0</v>
          </cell>
          <cell r="CN149" t="str">
            <v>0</v>
          </cell>
          <cell r="CO149" t="str">
            <v>0</v>
          </cell>
          <cell r="CP149" t="str">
            <v>0</v>
          </cell>
          <cell r="CQ149" t="str">
            <v>0</v>
          </cell>
          <cell r="CR149" t="str">
            <v>0</v>
          </cell>
          <cell r="CS149" t="str">
            <v>0</v>
          </cell>
          <cell r="CT149" t="str">
            <v>0</v>
          </cell>
          <cell r="CU149" t="str">
            <v>0</v>
          </cell>
          <cell r="CV149" t="str">
            <v>0</v>
          </cell>
          <cell r="CW149" t="str">
            <v>0</v>
          </cell>
          <cell r="CX149" t="str">
            <v>0</v>
          </cell>
          <cell r="CY149">
            <v>30412</v>
          </cell>
          <cell r="CZ149">
            <v>223405</v>
          </cell>
          <cell r="DA149">
            <v>0</v>
          </cell>
          <cell r="DB149">
            <v>0</v>
          </cell>
          <cell r="DC149">
            <v>223405</v>
          </cell>
        </row>
        <row r="150">
          <cell r="A150" t="str">
            <v>FS551</v>
          </cell>
          <cell r="B150" t="str">
            <v>Sirigireddy Shanthi</v>
          </cell>
          <cell r="C150" t="str">
            <v>Quality Engineering</v>
          </cell>
          <cell r="D150" t="str">
            <v>09-06-2025</v>
          </cell>
          <cell r="E150" t="str">
            <v>N.A</v>
          </cell>
          <cell r="F150" t="str">
            <v>2025-10</v>
          </cell>
          <cell r="G150" t="str">
            <v>Success</v>
          </cell>
          <cell r="H150" t="str">
            <v>N.A</v>
          </cell>
          <cell r="I150" t="str">
            <v/>
          </cell>
          <cell r="J150" t="str">
            <v>30</v>
          </cell>
          <cell r="K150" t="str">
            <v>0</v>
          </cell>
          <cell r="L150" t="str">
            <v>0</v>
          </cell>
          <cell r="M150" t="str">
            <v>N.A</v>
          </cell>
          <cell r="N150" t="str">
            <v>0</v>
          </cell>
          <cell r="O150" t="str">
            <v>0</v>
          </cell>
          <cell r="P150" t="str">
            <v>30</v>
          </cell>
          <cell r="Q150" t="str">
            <v>30</v>
          </cell>
          <cell r="R150" t="str">
            <v>Software Engineer I</v>
          </cell>
          <cell r="S150" t="str">
            <v>Delivery-IN</v>
          </cell>
          <cell r="T150" t="str">
            <v>Hyderabad</v>
          </cell>
          <cell r="U150" t="str">
            <v xml:space="preserve">Telangana </v>
          </cell>
          <cell r="V150" t="str">
            <v>50100800762544</v>
          </cell>
          <cell r="W150" t="str">
            <v>HDFC BANK</v>
          </cell>
          <cell r="X150" t="str">
            <v>32497</v>
          </cell>
          <cell r="Y150" t="str">
            <v>CEZPS2714C</v>
          </cell>
          <cell r="Z150" t="str">
            <v>13719</v>
          </cell>
          <cell r="AA150">
            <v>13719</v>
          </cell>
          <cell r="AB150">
            <v>0</v>
          </cell>
          <cell r="AC150">
            <v>5488</v>
          </cell>
          <cell r="AD150">
            <v>5488</v>
          </cell>
          <cell r="AE150">
            <v>0</v>
          </cell>
          <cell r="AF150">
            <v>1509</v>
          </cell>
          <cell r="AG150">
            <v>1509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3430</v>
          </cell>
          <cell r="AM150">
            <v>3430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8351</v>
          </cell>
          <cell r="AS150">
            <v>8351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 t="str">
            <v>0</v>
          </cell>
          <cell r="BF150">
            <v>0</v>
          </cell>
          <cell r="BG150">
            <v>0</v>
          </cell>
          <cell r="BH150">
            <v>32497</v>
          </cell>
          <cell r="BI150">
            <v>32497</v>
          </cell>
          <cell r="BJ150">
            <v>0</v>
          </cell>
          <cell r="BK150">
            <v>0</v>
          </cell>
          <cell r="BL150">
            <v>0</v>
          </cell>
          <cell r="BM150">
            <v>200</v>
          </cell>
          <cell r="BN150">
            <v>0</v>
          </cell>
          <cell r="BO150">
            <v>0</v>
          </cell>
          <cell r="BP150">
            <v>1800</v>
          </cell>
          <cell r="BQ150">
            <v>0</v>
          </cell>
          <cell r="BR150">
            <v>1800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str">
            <v>0</v>
          </cell>
          <cell r="BZ150" t="str">
            <v>0</v>
          </cell>
          <cell r="CA150" t="str">
            <v>0</v>
          </cell>
          <cell r="CB150" t="str">
            <v>0</v>
          </cell>
          <cell r="CC150" t="str">
            <v>0</v>
          </cell>
          <cell r="CD150" t="str">
            <v>0</v>
          </cell>
          <cell r="CE150" t="str">
            <v>0</v>
          </cell>
          <cell r="CF150" t="str">
            <v>0</v>
          </cell>
          <cell r="CG150" t="str">
            <v>0</v>
          </cell>
          <cell r="CH150" t="str">
            <v>0</v>
          </cell>
          <cell r="CI150" t="str">
            <v>0</v>
          </cell>
          <cell r="CJ150" t="str">
            <v>0</v>
          </cell>
          <cell r="CK150" t="str">
            <v>0</v>
          </cell>
          <cell r="CL150" t="str">
            <v>0</v>
          </cell>
          <cell r="CM150" t="str">
            <v>0</v>
          </cell>
          <cell r="CN150" t="str">
            <v>0</v>
          </cell>
          <cell r="CO150" t="str">
            <v>0</v>
          </cell>
          <cell r="CP150" t="str">
            <v>0</v>
          </cell>
          <cell r="CQ150" t="str">
            <v>0</v>
          </cell>
          <cell r="CR150" t="str">
            <v>0</v>
          </cell>
          <cell r="CS150" t="str">
            <v>0</v>
          </cell>
          <cell r="CT150" t="str">
            <v>0</v>
          </cell>
          <cell r="CU150" t="str">
            <v>0</v>
          </cell>
          <cell r="CV150" t="str">
            <v>0</v>
          </cell>
          <cell r="CW150" t="str">
            <v>0</v>
          </cell>
          <cell r="CX150" t="str">
            <v>0</v>
          </cell>
          <cell r="CY150">
            <v>2000</v>
          </cell>
          <cell r="CZ150">
            <v>30497</v>
          </cell>
          <cell r="DA150">
            <v>0</v>
          </cell>
          <cell r="DB150">
            <v>0</v>
          </cell>
          <cell r="DC150">
            <v>30497</v>
          </cell>
        </row>
        <row r="151">
          <cell r="A151" t="str">
            <v>FS552</v>
          </cell>
          <cell r="B151" t="str">
            <v>Neha</v>
          </cell>
          <cell r="C151" t="str">
            <v>Product Engineering</v>
          </cell>
          <cell r="D151" t="str">
            <v>11-06-2025</v>
          </cell>
          <cell r="E151" t="str">
            <v>N.A</v>
          </cell>
          <cell r="F151" t="str">
            <v>2025-10</v>
          </cell>
          <cell r="G151" t="str">
            <v>Success</v>
          </cell>
          <cell r="H151" t="str">
            <v>N.A</v>
          </cell>
          <cell r="I151" t="str">
            <v/>
          </cell>
          <cell r="J151" t="str">
            <v>30</v>
          </cell>
          <cell r="K151" t="str">
            <v>4</v>
          </cell>
          <cell r="L151" t="str">
            <v>0</v>
          </cell>
          <cell r="M151" t="str">
            <v>N.A</v>
          </cell>
          <cell r="N151" t="str">
            <v>0</v>
          </cell>
          <cell r="O151" t="str">
            <v>0</v>
          </cell>
          <cell r="P151" t="str">
            <v>26</v>
          </cell>
          <cell r="Q151" t="str">
            <v>30</v>
          </cell>
          <cell r="R151" t="str">
            <v>Lead Software Engineer</v>
          </cell>
          <cell r="S151" t="str">
            <v>Delivery-IN</v>
          </cell>
          <cell r="T151" t="str">
            <v>Hyderabad</v>
          </cell>
          <cell r="U151" t="str">
            <v xml:space="preserve">Telangana </v>
          </cell>
          <cell r="V151" t="str">
            <v>50100465928083</v>
          </cell>
          <cell r="W151" t="str">
            <v>HDFC BANK</v>
          </cell>
          <cell r="X151" t="str">
            <v>251708</v>
          </cell>
          <cell r="Y151" t="str">
            <v>CGVPN6575Q</v>
          </cell>
          <cell r="Z151" t="str">
            <v>93803</v>
          </cell>
          <cell r="AA151">
            <v>81296</v>
          </cell>
          <cell r="AB151">
            <v>0</v>
          </cell>
          <cell r="AC151">
            <v>37521</v>
          </cell>
          <cell r="AD151">
            <v>32518</v>
          </cell>
          <cell r="AE151">
            <v>0</v>
          </cell>
          <cell r="AF151">
            <v>10318</v>
          </cell>
          <cell r="AG151">
            <v>8942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10000</v>
          </cell>
          <cell r="AM151">
            <v>8667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81066</v>
          </cell>
          <cell r="AS151">
            <v>70257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19000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 t="str">
            <v>0</v>
          </cell>
          <cell r="BF151">
            <v>0</v>
          </cell>
          <cell r="BG151">
            <v>19000</v>
          </cell>
          <cell r="BH151">
            <v>220680</v>
          </cell>
          <cell r="BI151">
            <v>220680</v>
          </cell>
          <cell r="BJ151">
            <v>0</v>
          </cell>
          <cell r="BK151">
            <v>0</v>
          </cell>
          <cell r="BL151">
            <v>22748</v>
          </cell>
          <cell r="BM151">
            <v>200</v>
          </cell>
          <cell r="BN151">
            <v>0</v>
          </cell>
          <cell r="BO151">
            <v>0</v>
          </cell>
          <cell r="BP151">
            <v>1800</v>
          </cell>
          <cell r="BQ151">
            <v>0</v>
          </cell>
          <cell r="BR151">
            <v>1800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str">
            <v>0</v>
          </cell>
          <cell r="BZ151" t="str">
            <v>0</v>
          </cell>
          <cell r="CA151" t="str">
            <v>0</v>
          </cell>
          <cell r="CB151" t="str">
            <v>0</v>
          </cell>
          <cell r="CC151" t="str">
            <v>0</v>
          </cell>
          <cell r="CD151" t="str">
            <v>0</v>
          </cell>
          <cell r="CE151" t="str">
            <v>0</v>
          </cell>
          <cell r="CF151" t="str">
            <v>0</v>
          </cell>
          <cell r="CG151" t="str">
            <v>0</v>
          </cell>
          <cell r="CH151" t="str">
            <v>0</v>
          </cell>
          <cell r="CI151" t="str">
            <v>0</v>
          </cell>
          <cell r="CJ151" t="str">
            <v>0</v>
          </cell>
          <cell r="CK151" t="str">
            <v>0</v>
          </cell>
          <cell r="CL151" t="str">
            <v>0</v>
          </cell>
          <cell r="CM151" t="str">
            <v>0</v>
          </cell>
          <cell r="CN151" t="str">
            <v>0</v>
          </cell>
          <cell r="CO151" t="str">
            <v>0</v>
          </cell>
          <cell r="CP151" t="str">
            <v>0</v>
          </cell>
          <cell r="CQ151" t="str">
            <v>0</v>
          </cell>
          <cell r="CR151" t="str">
            <v>0</v>
          </cell>
          <cell r="CS151" t="str">
            <v>0</v>
          </cell>
          <cell r="CT151" t="str">
            <v>0</v>
          </cell>
          <cell r="CU151" t="str">
            <v>0</v>
          </cell>
          <cell r="CV151" t="str">
            <v>0</v>
          </cell>
          <cell r="CW151" t="str">
            <v>0</v>
          </cell>
          <cell r="CX151" t="str">
            <v>0</v>
          </cell>
          <cell r="CY151">
            <v>24748</v>
          </cell>
          <cell r="CZ151">
            <v>195932</v>
          </cell>
          <cell r="DA151">
            <v>0</v>
          </cell>
          <cell r="DB151">
            <v>0</v>
          </cell>
          <cell r="DC151">
            <v>195932</v>
          </cell>
        </row>
        <row r="152">
          <cell r="A152" t="str">
            <v>FS554</v>
          </cell>
          <cell r="B152" t="str">
            <v>Raghunandan Gundu</v>
          </cell>
          <cell r="C152" t="str">
            <v>Product Engineering</v>
          </cell>
          <cell r="D152" t="str">
            <v>26-06-2025</v>
          </cell>
          <cell r="E152" t="str">
            <v>N.A</v>
          </cell>
          <cell r="F152" t="str">
            <v>2025-10</v>
          </cell>
          <cell r="G152" t="str">
            <v>Success</v>
          </cell>
          <cell r="H152" t="str">
            <v>N.A</v>
          </cell>
          <cell r="I152" t="str">
            <v/>
          </cell>
          <cell r="J152" t="str">
            <v>30</v>
          </cell>
          <cell r="K152" t="str">
            <v>0</v>
          </cell>
          <cell r="L152" t="str">
            <v>0</v>
          </cell>
          <cell r="M152" t="str">
            <v>N.A</v>
          </cell>
          <cell r="N152" t="str">
            <v>0</v>
          </cell>
          <cell r="O152" t="str">
            <v>0</v>
          </cell>
          <cell r="P152" t="str">
            <v>30</v>
          </cell>
          <cell r="Q152" t="str">
            <v>30</v>
          </cell>
          <cell r="R152" t="str">
            <v>Senior Software Engineer</v>
          </cell>
          <cell r="S152" t="str">
            <v>Delivery-IN</v>
          </cell>
          <cell r="T152" t="str">
            <v>Hyderabad</v>
          </cell>
          <cell r="U152" t="str">
            <v xml:space="preserve">Telangana </v>
          </cell>
          <cell r="V152" t="str">
            <v>50100822500517</v>
          </cell>
          <cell r="W152" t="str">
            <v>HDFC BANK</v>
          </cell>
          <cell r="X152" t="str">
            <v>123200</v>
          </cell>
          <cell r="Y152" t="str">
            <v>BJOPG3708H</v>
          </cell>
          <cell r="Z152" t="str">
            <v>50000</v>
          </cell>
          <cell r="AA152">
            <v>50000</v>
          </cell>
          <cell r="AB152">
            <v>0</v>
          </cell>
          <cell r="AC152">
            <v>20000</v>
          </cell>
          <cell r="AD152">
            <v>20000</v>
          </cell>
          <cell r="AE152">
            <v>0</v>
          </cell>
          <cell r="AF152">
            <v>5500</v>
          </cell>
          <cell r="AG152">
            <v>5500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10000</v>
          </cell>
          <cell r="AM152">
            <v>10000</v>
          </cell>
          <cell r="AN152">
            <v>0</v>
          </cell>
          <cell r="AO152">
            <v>2200</v>
          </cell>
          <cell r="AP152">
            <v>2200</v>
          </cell>
          <cell r="AQ152">
            <v>0</v>
          </cell>
          <cell r="AR152">
            <v>35500</v>
          </cell>
          <cell r="AS152">
            <v>35500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 t="str">
            <v>0</v>
          </cell>
          <cell r="BF152">
            <v>0</v>
          </cell>
          <cell r="BG152">
            <v>0</v>
          </cell>
          <cell r="BH152">
            <v>123200</v>
          </cell>
          <cell r="BI152">
            <v>123200</v>
          </cell>
          <cell r="BJ152">
            <v>2200</v>
          </cell>
          <cell r="BK152">
            <v>0</v>
          </cell>
          <cell r="BL152">
            <v>0</v>
          </cell>
          <cell r="BM152">
            <v>200</v>
          </cell>
          <cell r="BN152">
            <v>0</v>
          </cell>
          <cell r="BO152">
            <v>0</v>
          </cell>
          <cell r="BP152">
            <v>1800</v>
          </cell>
          <cell r="BQ152">
            <v>0</v>
          </cell>
          <cell r="BR152">
            <v>1800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str">
            <v>0</v>
          </cell>
          <cell r="BZ152" t="str">
            <v>0</v>
          </cell>
          <cell r="CA152" t="str">
            <v>0</v>
          </cell>
          <cell r="CB152" t="str">
            <v>0</v>
          </cell>
          <cell r="CC152" t="str">
            <v>0</v>
          </cell>
          <cell r="CD152" t="str">
            <v>0</v>
          </cell>
          <cell r="CE152" t="str">
            <v>0</v>
          </cell>
          <cell r="CF152" t="str">
            <v>0</v>
          </cell>
          <cell r="CG152" t="str">
            <v>0</v>
          </cell>
          <cell r="CH152" t="str">
            <v>0</v>
          </cell>
          <cell r="CI152" t="str">
            <v>0</v>
          </cell>
          <cell r="CJ152" t="str">
            <v>0</v>
          </cell>
          <cell r="CK152" t="str">
            <v>0</v>
          </cell>
          <cell r="CL152" t="str">
            <v>0</v>
          </cell>
          <cell r="CM152" t="str">
            <v>0</v>
          </cell>
          <cell r="CN152" t="str">
            <v>0</v>
          </cell>
          <cell r="CO152" t="str">
            <v>0</v>
          </cell>
          <cell r="CP152" t="str">
            <v>0</v>
          </cell>
          <cell r="CQ152" t="str">
            <v>0</v>
          </cell>
          <cell r="CR152" t="str">
            <v>0</v>
          </cell>
          <cell r="CS152" t="str">
            <v>0</v>
          </cell>
          <cell r="CT152" t="str">
            <v>0</v>
          </cell>
          <cell r="CU152" t="str">
            <v>0</v>
          </cell>
          <cell r="CV152" t="str">
            <v>0</v>
          </cell>
          <cell r="CW152" t="str">
            <v>0</v>
          </cell>
          <cell r="CX152" t="str">
            <v>0</v>
          </cell>
          <cell r="CY152">
            <v>4200</v>
          </cell>
          <cell r="CZ152">
            <v>119000</v>
          </cell>
          <cell r="DA152">
            <v>0</v>
          </cell>
          <cell r="DB152">
            <v>0</v>
          </cell>
          <cell r="DC152">
            <v>119000</v>
          </cell>
        </row>
        <row r="153">
          <cell r="A153" t="str">
            <v>FS555</v>
          </cell>
          <cell r="B153" t="str">
            <v>Bandanadham Lourdhu Raju</v>
          </cell>
          <cell r="C153" t="str">
            <v>Product Engineering</v>
          </cell>
          <cell r="D153" t="str">
            <v>26-06-2025</v>
          </cell>
          <cell r="E153" t="str">
            <v>N.A</v>
          </cell>
          <cell r="F153" t="str">
            <v>2025-10</v>
          </cell>
          <cell r="G153" t="str">
            <v>Success</v>
          </cell>
          <cell r="H153" t="str">
            <v>N.A</v>
          </cell>
          <cell r="I153" t="str">
            <v/>
          </cell>
          <cell r="J153" t="str">
            <v>30</v>
          </cell>
          <cell r="K153" t="str">
            <v>0</v>
          </cell>
          <cell r="L153" t="str">
            <v>0</v>
          </cell>
          <cell r="M153" t="str">
            <v>N.A</v>
          </cell>
          <cell r="N153" t="str">
            <v>0</v>
          </cell>
          <cell r="O153" t="str">
            <v>0</v>
          </cell>
          <cell r="P153" t="str">
            <v>30</v>
          </cell>
          <cell r="Q153" t="str">
            <v>30</v>
          </cell>
          <cell r="R153" t="str">
            <v>Senior Software Engineer</v>
          </cell>
          <cell r="S153" t="str">
            <v>Delivery-IN</v>
          </cell>
          <cell r="T153" t="str">
            <v>Hyderabad</v>
          </cell>
          <cell r="U153" t="str">
            <v xml:space="preserve">Telangana </v>
          </cell>
          <cell r="V153" t="str">
            <v>50100420680066</v>
          </cell>
          <cell r="W153" t="str">
            <v>HDFC BANK</v>
          </cell>
          <cell r="X153" t="str">
            <v>123200</v>
          </cell>
          <cell r="Y153" t="str">
            <v>CTAPB8314B</v>
          </cell>
          <cell r="Z153" t="str">
            <v>50000</v>
          </cell>
          <cell r="AA153">
            <v>50000</v>
          </cell>
          <cell r="AB153">
            <v>0</v>
          </cell>
          <cell r="AC153">
            <v>20000</v>
          </cell>
          <cell r="AD153">
            <v>20000</v>
          </cell>
          <cell r="AE153">
            <v>0</v>
          </cell>
          <cell r="AF153">
            <v>5500</v>
          </cell>
          <cell r="AG153">
            <v>5500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10000</v>
          </cell>
          <cell r="AM153">
            <v>10000</v>
          </cell>
          <cell r="AN153">
            <v>0</v>
          </cell>
          <cell r="AO153">
            <v>2200</v>
          </cell>
          <cell r="AP153">
            <v>2200</v>
          </cell>
          <cell r="AQ153">
            <v>0</v>
          </cell>
          <cell r="AR153">
            <v>35500</v>
          </cell>
          <cell r="AS153">
            <v>35500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 t="str">
            <v>0</v>
          </cell>
          <cell r="BF153">
            <v>0</v>
          </cell>
          <cell r="BG153">
            <v>0</v>
          </cell>
          <cell r="BH153">
            <v>123200</v>
          </cell>
          <cell r="BI153">
            <v>123200</v>
          </cell>
          <cell r="BJ153">
            <v>2200</v>
          </cell>
          <cell r="BK153">
            <v>0</v>
          </cell>
          <cell r="BL153">
            <v>0</v>
          </cell>
          <cell r="BM153">
            <v>200</v>
          </cell>
          <cell r="BN153">
            <v>0</v>
          </cell>
          <cell r="BO153">
            <v>0</v>
          </cell>
          <cell r="BP153">
            <v>1800</v>
          </cell>
          <cell r="BQ153">
            <v>0</v>
          </cell>
          <cell r="BR153">
            <v>1800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str">
            <v>0</v>
          </cell>
          <cell r="BZ153" t="str">
            <v>0</v>
          </cell>
          <cell r="CA153" t="str">
            <v>0</v>
          </cell>
          <cell r="CB153" t="str">
            <v>0</v>
          </cell>
          <cell r="CC153" t="str">
            <v>0</v>
          </cell>
          <cell r="CD153" t="str">
            <v>0</v>
          </cell>
          <cell r="CE153" t="str">
            <v>0</v>
          </cell>
          <cell r="CF153" t="str">
            <v>0</v>
          </cell>
          <cell r="CG153" t="str">
            <v>0</v>
          </cell>
          <cell r="CH153" t="str">
            <v>0</v>
          </cell>
          <cell r="CI153" t="str">
            <v>0</v>
          </cell>
          <cell r="CJ153" t="str">
            <v>0</v>
          </cell>
          <cell r="CK153" t="str">
            <v>0</v>
          </cell>
          <cell r="CL153" t="str">
            <v>0</v>
          </cell>
          <cell r="CM153" t="str">
            <v>0</v>
          </cell>
          <cell r="CN153" t="str">
            <v>0</v>
          </cell>
          <cell r="CO153" t="str">
            <v>0</v>
          </cell>
          <cell r="CP153" t="str">
            <v>0</v>
          </cell>
          <cell r="CQ153" t="str">
            <v>0</v>
          </cell>
          <cell r="CR153" t="str">
            <v>0</v>
          </cell>
          <cell r="CS153" t="str">
            <v>0</v>
          </cell>
          <cell r="CT153" t="str">
            <v>0</v>
          </cell>
          <cell r="CU153" t="str">
            <v>0</v>
          </cell>
          <cell r="CV153" t="str">
            <v>0</v>
          </cell>
          <cell r="CW153" t="str">
            <v>0</v>
          </cell>
          <cell r="CX153" t="str">
            <v>0</v>
          </cell>
          <cell r="CY153">
            <v>4200</v>
          </cell>
          <cell r="CZ153">
            <v>119000</v>
          </cell>
          <cell r="DA153">
            <v>0</v>
          </cell>
          <cell r="DB153">
            <v>0</v>
          </cell>
          <cell r="DC153">
            <v>119000</v>
          </cell>
        </row>
        <row r="154">
          <cell r="A154" t="str">
            <v>FS556</v>
          </cell>
          <cell r="B154" t="str">
            <v>Chimmiri Ruthvik</v>
          </cell>
          <cell r="C154" t="str">
            <v>Product Engineering</v>
          </cell>
          <cell r="D154" t="str">
            <v>07-07-2025</v>
          </cell>
          <cell r="E154" t="str">
            <v>N.A</v>
          </cell>
          <cell r="F154" t="str">
            <v>2025-10</v>
          </cell>
          <cell r="G154" t="str">
            <v>Success</v>
          </cell>
          <cell r="H154" t="str">
            <v>N.A</v>
          </cell>
          <cell r="I154" t="str">
            <v/>
          </cell>
          <cell r="J154" t="str">
            <v>30</v>
          </cell>
          <cell r="K154" t="str">
            <v>0</v>
          </cell>
          <cell r="L154" t="str">
            <v>0</v>
          </cell>
          <cell r="M154" t="str">
            <v>N.A</v>
          </cell>
          <cell r="N154" t="str">
            <v>0</v>
          </cell>
          <cell r="O154" t="str">
            <v>0</v>
          </cell>
          <cell r="P154" t="str">
            <v>30</v>
          </cell>
          <cell r="Q154" t="str">
            <v>30</v>
          </cell>
          <cell r="R154" t="str">
            <v>Senior Software Engineer</v>
          </cell>
          <cell r="S154" t="str">
            <v>Delivery-IN</v>
          </cell>
          <cell r="T154" t="str">
            <v>Hyderabad</v>
          </cell>
          <cell r="U154" t="str">
            <v xml:space="preserve">Telangana </v>
          </cell>
          <cell r="V154" t="str">
            <v>62252565177</v>
          </cell>
          <cell r="W154" t="str">
            <v>STATE BANK OF INDIA</v>
          </cell>
          <cell r="X154" t="str">
            <v>236050</v>
          </cell>
          <cell r="Y154" t="str">
            <v>AYWPC0902B</v>
          </cell>
          <cell r="Z154" t="str">
            <v>86340</v>
          </cell>
          <cell r="AA154">
            <v>86340</v>
          </cell>
          <cell r="AB154">
            <v>0</v>
          </cell>
          <cell r="AC154">
            <v>34536</v>
          </cell>
          <cell r="AD154">
            <v>34536</v>
          </cell>
          <cell r="AE154">
            <v>0</v>
          </cell>
          <cell r="AF154">
            <v>9497</v>
          </cell>
          <cell r="AG154">
            <v>9497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10000</v>
          </cell>
          <cell r="AM154">
            <v>10000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73677</v>
          </cell>
          <cell r="AS154">
            <v>73677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22000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 t="str">
            <v>0</v>
          </cell>
          <cell r="BF154">
            <v>0</v>
          </cell>
          <cell r="BG154">
            <v>22000</v>
          </cell>
          <cell r="BH154">
            <v>236050</v>
          </cell>
          <cell r="BI154">
            <v>236050</v>
          </cell>
          <cell r="BJ154">
            <v>0</v>
          </cell>
          <cell r="BK154">
            <v>0</v>
          </cell>
          <cell r="BL154">
            <v>20374</v>
          </cell>
          <cell r="BM154">
            <v>200</v>
          </cell>
          <cell r="BN154">
            <v>0</v>
          </cell>
          <cell r="BO154">
            <v>0</v>
          </cell>
          <cell r="BP154">
            <v>1800</v>
          </cell>
          <cell r="BQ154">
            <v>0</v>
          </cell>
          <cell r="BR154">
            <v>1800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str">
            <v>0</v>
          </cell>
          <cell r="BZ154" t="str">
            <v>0</v>
          </cell>
          <cell r="CA154" t="str">
            <v>0</v>
          </cell>
          <cell r="CB154" t="str">
            <v>0</v>
          </cell>
          <cell r="CC154" t="str">
            <v>0</v>
          </cell>
          <cell r="CD154" t="str">
            <v>0</v>
          </cell>
          <cell r="CE154" t="str">
            <v>0</v>
          </cell>
          <cell r="CF154" t="str">
            <v>0</v>
          </cell>
          <cell r="CG154" t="str">
            <v>0</v>
          </cell>
          <cell r="CH154" t="str">
            <v>0</v>
          </cell>
          <cell r="CI154" t="str">
            <v>0</v>
          </cell>
          <cell r="CJ154" t="str">
            <v>0</v>
          </cell>
          <cell r="CK154" t="str">
            <v>0</v>
          </cell>
          <cell r="CL154" t="str">
            <v>0</v>
          </cell>
          <cell r="CM154" t="str">
            <v>0</v>
          </cell>
          <cell r="CN154" t="str">
            <v>0</v>
          </cell>
          <cell r="CO154" t="str">
            <v>0</v>
          </cell>
          <cell r="CP154" t="str">
            <v>0</v>
          </cell>
          <cell r="CQ154" t="str">
            <v>0</v>
          </cell>
          <cell r="CR154" t="str">
            <v>0</v>
          </cell>
          <cell r="CS154" t="str">
            <v>0</v>
          </cell>
          <cell r="CT154" t="str">
            <v>0</v>
          </cell>
          <cell r="CU154" t="str">
            <v>0</v>
          </cell>
          <cell r="CV154" t="str">
            <v>0</v>
          </cell>
          <cell r="CW154" t="str">
            <v>0</v>
          </cell>
          <cell r="CX154" t="str">
            <v>0</v>
          </cell>
          <cell r="CY154">
            <v>22374</v>
          </cell>
          <cell r="CZ154">
            <v>213676</v>
          </cell>
          <cell r="DA154">
            <v>0</v>
          </cell>
          <cell r="DB154">
            <v>0</v>
          </cell>
          <cell r="DC154">
            <v>213676</v>
          </cell>
        </row>
        <row r="155">
          <cell r="A155" t="str">
            <v>FS557</v>
          </cell>
          <cell r="B155" t="str">
            <v>Boda Raja</v>
          </cell>
          <cell r="C155" t="str">
            <v>Product Engineering</v>
          </cell>
          <cell r="D155" t="str">
            <v>07-07-2025</v>
          </cell>
          <cell r="E155" t="str">
            <v>N.A</v>
          </cell>
          <cell r="F155" t="str">
            <v>2025-10</v>
          </cell>
          <cell r="G155" t="str">
            <v>Success</v>
          </cell>
          <cell r="H155" t="str">
            <v>N.A</v>
          </cell>
          <cell r="I155" t="str">
            <v/>
          </cell>
          <cell r="J155" t="str">
            <v>30</v>
          </cell>
          <cell r="K155" t="str">
            <v>0</v>
          </cell>
          <cell r="L155" t="str">
            <v>0</v>
          </cell>
          <cell r="M155" t="str">
            <v>N.A</v>
          </cell>
          <cell r="N155" t="str">
            <v>0</v>
          </cell>
          <cell r="O155" t="str">
            <v>0</v>
          </cell>
          <cell r="P155" t="str">
            <v>30</v>
          </cell>
          <cell r="Q155" t="str">
            <v>30</v>
          </cell>
          <cell r="R155" t="str">
            <v>Associate software engineer</v>
          </cell>
          <cell r="S155" t="str">
            <v>Delivery-IN</v>
          </cell>
          <cell r="T155" t="str">
            <v>Hyderabad</v>
          </cell>
          <cell r="U155" t="str">
            <v xml:space="preserve">Telangana </v>
          </cell>
          <cell r="V155" t="str">
            <v>62418945971</v>
          </cell>
          <cell r="W155" t="str">
            <v>STATE BANK OF INDIA</v>
          </cell>
          <cell r="X155" t="str">
            <v>24320</v>
          </cell>
          <cell r="Y155" t="str">
            <v>EUCPR3669Q</v>
          </cell>
          <cell r="Z155" t="str">
            <v>10448</v>
          </cell>
          <cell r="AA155">
            <v>10448</v>
          </cell>
          <cell r="AB155">
            <v>0</v>
          </cell>
          <cell r="AC155">
            <v>4179</v>
          </cell>
          <cell r="AD155">
            <v>4179</v>
          </cell>
          <cell r="AE155">
            <v>0</v>
          </cell>
          <cell r="AF155">
            <v>1149</v>
          </cell>
          <cell r="AG155">
            <v>1149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2612</v>
          </cell>
          <cell r="AM155">
            <v>2612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5932</v>
          </cell>
          <cell r="AS155">
            <v>5932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 t="str">
            <v>0</v>
          </cell>
          <cell r="BF155">
            <v>0</v>
          </cell>
          <cell r="BG155">
            <v>0</v>
          </cell>
          <cell r="BH155">
            <v>24320</v>
          </cell>
          <cell r="BI155">
            <v>24320</v>
          </cell>
          <cell r="BJ155">
            <v>0</v>
          </cell>
          <cell r="BK155">
            <v>0</v>
          </cell>
          <cell r="BL155">
            <v>0</v>
          </cell>
          <cell r="BM155">
            <v>200</v>
          </cell>
          <cell r="BN155">
            <v>0</v>
          </cell>
          <cell r="BO155">
            <v>0</v>
          </cell>
          <cell r="BP155">
            <v>1800</v>
          </cell>
          <cell r="BQ155">
            <v>0</v>
          </cell>
          <cell r="BR155">
            <v>1800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 t="str">
            <v>0</v>
          </cell>
          <cell r="BZ155" t="str">
            <v>0</v>
          </cell>
          <cell r="CA155" t="str">
            <v>0</v>
          </cell>
          <cell r="CB155" t="str">
            <v>0</v>
          </cell>
          <cell r="CC155" t="str">
            <v>0</v>
          </cell>
          <cell r="CD155" t="str">
            <v>0</v>
          </cell>
          <cell r="CE155" t="str">
            <v>0</v>
          </cell>
          <cell r="CF155" t="str">
            <v>0</v>
          </cell>
          <cell r="CG155" t="str">
            <v>0</v>
          </cell>
          <cell r="CH155" t="str">
            <v>0</v>
          </cell>
          <cell r="CI155" t="str">
            <v>0</v>
          </cell>
          <cell r="CJ155" t="str">
            <v>0</v>
          </cell>
          <cell r="CK155" t="str">
            <v>0</v>
          </cell>
          <cell r="CL155" t="str">
            <v>0</v>
          </cell>
          <cell r="CM155" t="str">
            <v>0</v>
          </cell>
          <cell r="CN155" t="str">
            <v>0</v>
          </cell>
          <cell r="CO155" t="str">
            <v>0</v>
          </cell>
          <cell r="CP155" t="str">
            <v>0</v>
          </cell>
          <cell r="CQ155" t="str">
            <v>0</v>
          </cell>
          <cell r="CR155" t="str">
            <v>0</v>
          </cell>
          <cell r="CS155" t="str">
            <v>0</v>
          </cell>
          <cell r="CT155" t="str">
            <v>0</v>
          </cell>
          <cell r="CU155" t="str">
            <v>0</v>
          </cell>
          <cell r="CV155" t="str">
            <v>0</v>
          </cell>
          <cell r="CW155" t="str">
            <v>0</v>
          </cell>
          <cell r="CX155" t="str">
            <v>0</v>
          </cell>
          <cell r="CY155">
            <v>2000</v>
          </cell>
          <cell r="CZ155">
            <v>22320</v>
          </cell>
          <cell r="DA155">
            <v>0</v>
          </cell>
          <cell r="DB155">
            <v>0</v>
          </cell>
          <cell r="DC155">
            <v>22320</v>
          </cell>
        </row>
        <row r="156">
          <cell r="A156" t="str">
            <v>FS558</v>
          </cell>
          <cell r="B156" t="str">
            <v>Endla Mohan</v>
          </cell>
          <cell r="C156" t="str">
            <v>Talent Acquisition</v>
          </cell>
          <cell r="D156" t="str">
            <v>16-07-2025</v>
          </cell>
          <cell r="E156" t="str">
            <v>N.A</v>
          </cell>
          <cell r="F156" t="str">
            <v>2025-10</v>
          </cell>
          <cell r="G156" t="str">
            <v>Success</v>
          </cell>
          <cell r="H156" t="str">
            <v>N.A</v>
          </cell>
          <cell r="I156" t="str">
            <v/>
          </cell>
          <cell r="J156" t="str">
            <v>30</v>
          </cell>
          <cell r="K156" t="str">
            <v>0</v>
          </cell>
          <cell r="L156" t="str">
            <v>0</v>
          </cell>
          <cell r="M156" t="str">
            <v>N.A</v>
          </cell>
          <cell r="N156" t="str">
            <v>0</v>
          </cell>
          <cell r="O156" t="str">
            <v>0</v>
          </cell>
          <cell r="P156" t="str">
            <v>30</v>
          </cell>
          <cell r="Q156" t="str">
            <v>30</v>
          </cell>
          <cell r="R156" t="str">
            <v>Senior Talent Acquistion Executive - Americas</v>
          </cell>
          <cell r="S156" t="str">
            <v>US Staffing</v>
          </cell>
          <cell r="T156" t="str">
            <v>Hyderabad</v>
          </cell>
          <cell r="U156" t="str">
            <v xml:space="preserve">Telangana </v>
          </cell>
          <cell r="V156" t="str">
            <v>50100408223469</v>
          </cell>
          <cell r="W156" t="str">
            <v>HDFC BANK</v>
          </cell>
          <cell r="X156" t="str">
            <v>82367</v>
          </cell>
          <cell r="Y156" t="str">
            <v>EWEPM9621R</v>
          </cell>
          <cell r="Z156" t="str">
            <v>33667</v>
          </cell>
          <cell r="AA156">
            <v>33667</v>
          </cell>
          <cell r="AB156">
            <v>0</v>
          </cell>
          <cell r="AC156">
            <v>13467</v>
          </cell>
          <cell r="AD156">
            <v>13467</v>
          </cell>
          <cell r="AE156">
            <v>0</v>
          </cell>
          <cell r="AF156">
            <v>3703</v>
          </cell>
          <cell r="AG156">
            <v>3703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8417</v>
          </cell>
          <cell r="AM156">
            <v>8417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23113</v>
          </cell>
          <cell r="AS156">
            <v>23113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 t="str">
            <v>0</v>
          </cell>
          <cell r="BF156">
            <v>0</v>
          </cell>
          <cell r="BG156">
            <v>0</v>
          </cell>
          <cell r="BH156">
            <v>82367</v>
          </cell>
          <cell r="BI156">
            <v>82367</v>
          </cell>
          <cell r="BJ156">
            <v>0</v>
          </cell>
          <cell r="BK156">
            <v>0</v>
          </cell>
          <cell r="BL156">
            <v>0</v>
          </cell>
          <cell r="BM156">
            <v>200</v>
          </cell>
          <cell r="BN156">
            <v>0</v>
          </cell>
          <cell r="BO156">
            <v>0</v>
          </cell>
          <cell r="BP156">
            <v>1800</v>
          </cell>
          <cell r="BQ156">
            <v>0</v>
          </cell>
          <cell r="BR156">
            <v>1800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str">
            <v>0</v>
          </cell>
          <cell r="BZ156" t="str">
            <v>0</v>
          </cell>
          <cell r="CA156" t="str">
            <v>0</v>
          </cell>
          <cell r="CB156" t="str">
            <v>0</v>
          </cell>
          <cell r="CC156" t="str">
            <v>0</v>
          </cell>
          <cell r="CD156" t="str">
            <v>0</v>
          </cell>
          <cell r="CE156" t="str">
            <v>0</v>
          </cell>
          <cell r="CF156" t="str">
            <v>0</v>
          </cell>
          <cell r="CG156" t="str">
            <v>0</v>
          </cell>
          <cell r="CH156" t="str">
            <v>0</v>
          </cell>
          <cell r="CI156" t="str">
            <v>0</v>
          </cell>
          <cell r="CJ156" t="str">
            <v>0</v>
          </cell>
          <cell r="CK156" t="str">
            <v>0</v>
          </cell>
          <cell r="CL156" t="str">
            <v>0</v>
          </cell>
          <cell r="CM156" t="str">
            <v>0</v>
          </cell>
          <cell r="CN156" t="str">
            <v>0</v>
          </cell>
          <cell r="CO156" t="str">
            <v>0</v>
          </cell>
          <cell r="CP156" t="str">
            <v>0</v>
          </cell>
          <cell r="CQ156" t="str">
            <v>0</v>
          </cell>
          <cell r="CR156" t="str">
            <v>0</v>
          </cell>
          <cell r="CS156" t="str">
            <v>0</v>
          </cell>
          <cell r="CT156" t="str">
            <v>0</v>
          </cell>
          <cell r="CU156" t="str">
            <v>0</v>
          </cell>
          <cell r="CV156" t="str">
            <v>0</v>
          </cell>
          <cell r="CW156" t="str">
            <v>0</v>
          </cell>
          <cell r="CX156" t="str">
            <v>0</v>
          </cell>
          <cell r="CY156">
            <v>2000</v>
          </cell>
          <cell r="CZ156">
            <v>80367</v>
          </cell>
          <cell r="DA156">
            <v>0</v>
          </cell>
          <cell r="DB156">
            <v>0</v>
          </cell>
          <cell r="DC156">
            <v>80367</v>
          </cell>
        </row>
        <row r="157">
          <cell r="A157" t="str">
            <v>FS560</v>
          </cell>
          <cell r="B157" t="str">
            <v>Konala Venkata Tammiraju</v>
          </cell>
          <cell r="C157" t="str">
            <v>Product Engineering</v>
          </cell>
          <cell r="D157" t="str">
            <v>28-07-2025</v>
          </cell>
          <cell r="E157" t="str">
            <v>N.A</v>
          </cell>
          <cell r="F157" t="str">
            <v>2025-10</v>
          </cell>
          <cell r="G157" t="str">
            <v>Success</v>
          </cell>
          <cell r="H157" t="str">
            <v>N.A</v>
          </cell>
          <cell r="I157" t="str">
            <v/>
          </cell>
          <cell r="J157" t="str">
            <v>30</v>
          </cell>
          <cell r="K157" t="str">
            <v>0</v>
          </cell>
          <cell r="L157" t="str">
            <v>0</v>
          </cell>
          <cell r="M157" t="str">
            <v>N.A</v>
          </cell>
          <cell r="N157" t="str">
            <v>0</v>
          </cell>
          <cell r="O157" t="str">
            <v>0</v>
          </cell>
          <cell r="P157" t="str">
            <v>30</v>
          </cell>
          <cell r="Q157" t="str">
            <v>30</v>
          </cell>
          <cell r="R157" t="str">
            <v>Senior Data Engineer</v>
          </cell>
          <cell r="S157" t="str">
            <v>Delivery-IN</v>
          </cell>
          <cell r="T157" t="str">
            <v>Hyderabad</v>
          </cell>
          <cell r="U157" t="str">
            <v xml:space="preserve">Telangana </v>
          </cell>
          <cell r="V157" t="str">
            <v>50100058882451</v>
          </cell>
          <cell r="W157" t="str">
            <v>HDFC BANK</v>
          </cell>
          <cell r="X157" t="str">
            <v>327667</v>
          </cell>
          <cell r="Y157" t="str">
            <v>AVJPT3922E</v>
          </cell>
          <cell r="Z157" t="str">
            <v>116667</v>
          </cell>
          <cell r="AA157">
            <v>116667</v>
          </cell>
          <cell r="AB157">
            <v>0</v>
          </cell>
          <cell r="AC157">
            <v>46667</v>
          </cell>
          <cell r="AD157">
            <v>46667</v>
          </cell>
          <cell r="AE157">
            <v>0</v>
          </cell>
          <cell r="AF157">
            <v>12833</v>
          </cell>
          <cell r="AG157">
            <v>12833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10000</v>
          </cell>
          <cell r="AM157">
            <v>10000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91500</v>
          </cell>
          <cell r="AS157">
            <v>91500</v>
          </cell>
          <cell r="AT157">
            <v>0</v>
          </cell>
          <cell r="AU157">
            <v>0</v>
          </cell>
          <cell r="AV157">
            <v>50000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 t="str">
            <v>0</v>
          </cell>
          <cell r="BF157">
            <v>0</v>
          </cell>
          <cell r="BG157">
            <v>50000</v>
          </cell>
          <cell r="BH157">
            <v>327667</v>
          </cell>
          <cell r="BI157">
            <v>327667</v>
          </cell>
          <cell r="BJ157">
            <v>0</v>
          </cell>
          <cell r="BK157">
            <v>0</v>
          </cell>
          <cell r="BL157">
            <v>32619</v>
          </cell>
          <cell r="BM157">
            <v>200</v>
          </cell>
          <cell r="BN157">
            <v>0</v>
          </cell>
          <cell r="BO157">
            <v>0</v>
          </cell>
          <cell r="BP157">
            <v>14000</v>
          </cell>
          <cell r="BQ157">
            <v>0</v>
          </cell>
          <cell r="BR157">
            <v>14000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str">
            <v>0</v>
          </cell>
          <cell r="BZ157" t="str">
            <v>0</v>
          </cell>
          <cell r="CA157" t="str">
            <v>0</v>
          </cell>
          <cell r="CB157" t="str">
            <v>0</v>
          </cell>
          <cell r="CC157" t="str">
            <v>0</v>
          </cell>
          <cell r="CD157" t="str">
            <v>0</v>
          </cell>
          <cell r="CE157" t="str">
            <v>0</v>
          </cell>
          <cell r="CF157" t="str">
            <v>0</v>
          </cell>
          <cell r="CG157" t="str">
            <v>0</v>
          </cell>
          <cell r="CH157" t="str">
            <v>0</v>
          </cell>
          <cell r="CI157" t="str">
            <v>0</v>
          </cell>
          <cell r="CJ157" t="str">
            <v>0</v>
          </cell>
          <cell r="CK157" t="str">
            <v>0</v>
          </cell>
          <cell r="CL157" t="str">
            <v>0</v>
          </cell>
          <cell r="CM157" t="str">
            <v>0</v>
          </cell>
          <cell r="CN157" t="str">
            <v>0</v>
          </cell>
          <cell r="CO157" t="str">
            <v>0</v>
          </cell>
          <cell r="CP157" t="str">
            <v>0</v>
          </cell>
          <cell r="CQ157" t="str">
            <v>0</v>
          </cell>
          <cell r="CR157" t="str">
            <v>0</v>
          </cell>
          <cell r="CS157" t="str">
            <v>0</v>
          </cell>
          <cell r="CT157" t="str">
            <v>0</v>
          </cell>
          <cell r="CU157" t="str">
            <v>0</v>
          </cell>
          <cell r="CV157" t="str">
            <v>0</v>
          </cell>
          <cell r="CW157" t="str">
            <v>0</v>
          </cell>
          <cell r="CX157" t="str">
            <v>0</v>
          </cell>
          <cell r="CY157">
            <v>46819</v>
          </cell>
          <cell r="CZ157">
            <v>280848</v>
          </cell>
          <cell r="DA157">
            <v>0</v>
          </cell>
          <cell r="DB157">
            <v>0</v>
          </cell>
          <cell r="DC157">
            <v>280848</v>
          </cell>
        </row>
        <row r="158">
          <cell r="A158" t="str">
            <v>FS561</v>
          </cell>
          <cell r="B158" t="str">
            <v>Shilpa Ram Koli</v>
          </cell>
          <cell r="C158" t="str">
            <v>Product Engineering</v>
          </cell>
          <cell r="D158" t="str">
            <v>04-08-2025</v>
          </cell>
          <cell r="E158" t="str">
            <v>N.A</v>
          </cell>
          <cell r="F158" t="str">
            <v>2025-10</v>
          </cell>
          <cell r="G158" t="str">
            <v>Success</v>
          </cell>
          <cell r="H158" t="str">
            <v>N.A</v>
          </cell>
          <cell r="I158" t="str">
            <v/>
          </cell>
          <cell r="J158" t="str">
            <v>30</v>
          </cell>
          <cell r="K158" t="str">
            <v>0</v>
          </cell>
          <cell r="L158" t="str">
            <v>0</v>
          </cell>
          <cell r="M158" t="str">
            <v>N.A</v>
          </cell>
          <cell r="N158" t="str">
            <v>0</v>
          </cell>
          <cell r="O158" t="str">
            <v>0</v>
          </cell>
          <cell r="P158" t="str">
            <v>30</v>
          </cell>
          <cell r="Q158" t="str">
            <v>30</v>
          </cell>
          <cell r="R158" t="str">
            <v>Salesforce Consultant</v>
          </cell>
          <cell r="S158" t="str">
            <v>Delivery-IN</v>
          </cell>
          <cell r="T158" t="str">
            <v>Hyderabad</v>
          </cell>
          <cell r="U158" t="str">
            <v xml:space="preserve">Telangana </v>
          </cell>
          <cell r="V158" t="str">
            <v>50100831450271</v>
          </cell>
          <cell r="W158" t="str">
            <v>HDFC BANK</v>
          </cell>
          <cell r="X158" t="str">
            <v>94033</v>
          </cell>
          <cell r="Y158" t="str">
            <v>LCNPK4204L</v>
          </cell>
          <cell r="Z158" t="str">
            <v>38333</v>
          </cell>
          <cell r="AA158">
            <v>38333</v>
          </cell>
          <cell r="AB158">
            <v>0</v>
          </cell>
          <cell r="AC158">
            <v>15333</v>
          </cell>
          <cell r="AD158">
            <v>15333</v>
          </cell>
          <cell r="AE158">
            <v>0</v>
          </cell>
          <cell r="AF158">
            <v>4217</v>
          </cell>
          <cell r="AG158">
            <v>4217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9583</v>
          </cell>
          <cell r="AM158">
            <v>9583</v>
          </cell>
          <cell r="AN158">
            <v>0</v>
          </cell>
          <cell r="AO158">
            <v>2200</v>
          </cell>
          <cell r="AP158">
            <v>2200</v>
          </cell>
          <cell r="AQ158">
            <v>0</v>
          </cell>
          <cell r="AR158">
            <v>24367</v>
          </cell>
          <cell r="AS158">
            <v>24367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 t="str">
            <v>0</v>
          </cell>
          <cell r="BF158">
            <v>0</v>
          </cell>
          <cell r="BG158">
            <v>0</v>
          </cell>
          <cell r="BH158">
            <v>94033</v>
          </cell>
          <cell r="BI158">
            <v>94033</v>
          </cell>
          <cell r="BJ158">
            <v>2200</v>
          </cell>
          <cell r="BK158">
            <v>0</v>
          </cell>
          <cell r="BL158">
            <v>0</v>
          </cell>
          <cell r="BM158">
            <v>200</v>
          </cell>
          <cell r="BN158">
            <v>0</v>
          </cell>
          <cell r="BO158">
            <v>0</v>
          </cell>
          <cell r="BP158">
            <v>1800</v>
          </cell>
          <cell r="BQ158">
            <v>0</v>
          </cell>
          <cell r="BR158">
            <v>1800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 t="str">
            <v>0</v>
          </cell>
          <cell r="BZ158" t="str">
            <v>0</v>
          </cell>
          <cell r="CA158" t="str">
            <v>0</v>
          </cell>
          <cell r="CB158" t="str">
            <v>0</v>
          </cell>
          <cell r="CC158" t="str">
            <v>0</v>
          </cell>
          <cell r="CD158" t="str">
            <v>0</v>
          </cell>
          <cell r="CE158" t="str">
            <v>0</v>
          </cell>
          <cell r="CF158" t="str">
            <v>0</v>
          </cell>
          <cell r="CG158" t="str">
            <v>0</v>
          </cell>
          <cell r="CH158" t="str">
            <v>0</v>
          </cell>
          <cell r="CI158" t="str">
            <v>0</v>
          </cell>
          <cell r="CJ158" t="str">
            <v>0</v>
          </cell>
          <cell r="CK158" t="str">
            <v>0</v>
          </cell>
          <cell r="CL158" t="str">
            <v>0</v>
          </cell>
          <cell r="CM158" t="str">
            <v>0</v>
          </cell>
          <cell r="CN158" t="str">
            <v>0</v>
          </cell>
          <cell r="CO158" t="str">
            <v>0</v>
          </cell>
          <cell r="CP158" t="str">
            <v>0</v>
          </cell>
          <cell r="CQ158" t="str">
            <v>0</v>
          </cell>
          <cell r="CR158" t="str">
            <v>0</v>
          </cell>
          <cell r="CS158" t="str">
            <v>0</v>
          </cell>
          <cell r="CT158" t="str">
            <v>0</v>
          </cell>
          <cell r="CU158" t="str">
            <v>0</v>
          </cell>
          <cell r="CV158" t="str">
            <v>0</v>
          </cell>
          <cell r="CW158" t="str">
            <v>0</v>
          </cell>
          <cell r="CX158" t="str">
            <v>0</v>
          </cell>
          <cell r="CY158">
            <v>4200</v>
          </cell>
          <cell r="CZ158">
            <v>89833</v>
          </cell>
          <cell r="DA158">
            <v>0</v>
          </cell>
          <cell r="DB158">
            <v>0</v>
          </cell>
          <cell r="DC158">
            <v>89833</v>
          </cell>
        </row>
        <row r="159">
          <cell r="A159" t="str">
            <v>FS563</v>
          </cell>
          <cell r="B159" t="str">
            <v>Sripathi Venkata Raju</v>
          </cell>
          <cell r="C159" t="str">
            <v>Product Engineering</v>
          </cell>
          <cell r="D159" t="str">
            <v>05-08-2025</v>
          </cell>
          <cell r="E159" t="str">
            <v>N.A</v>
          </cell>
          <cell r="F159" t="str">
            <v>2025-10</v>
          </cell>
          <cell r="G159" t="str">
            <v>Success</v>
          </cell>
          <cell r="H159" t="str">
            <v>N.A</v>
          </cell>
          <cell r="I159" t="str">
            <v/>
          </cell>
          <cell r="J159" t="str">
            <v>30</v>
          </cell>
          <cell r="K159" t="str">
            <v>0</v>
          </cell>
          <cell r="L159" t="str">
            <v>0</v>
          </cell>
          <cell r="M159" t="str">
            <v>N.A</v>
          </cell>
          <cell r="N159" t="str">
            <v>0</v>
          </cell>
          <cell r="O159" t="str">
            <v>0</v>
          </cell>
          <cell r="P159" t="str">
            <v>30</v>
          </cell>
          <cell r="Q159" t="str">
            <v>30</v>
          </cell>
          <cell r="R159" t="str">
            <v>Senior Software Engineer</v>
          </cell>
          <cell r="S159" t="str">
            <v>Delivery-IN</v>
          </cell>
          <cell r="T159" t="str">
            <v>Hyderabad</v>
          </cell>
          <cell r="U159" t="str">
            <v xml:space="preserve">Telangana </v>
          </cell>
          <cell r="V159" t="str">
            <v>31852050280</v>
          </cell>
          <cell r="W159" t="str">
            <v>STATE BANK OF INDIA</v>
          </cell>
          <cell r="X159" t="str">
            <v>174907</v>
          </cell>
          <cell r="Y159" t="str">
            <v>GFQPS0050P</v>
          </cell>
          <cell r="Z159" t="str">
            <v>64667</v>
          </cell>
          <cell r="AA159">
            <v>64667</v>
          </cell>
          <cell r="AB159">
            <v>0</v>
          </cell>
          <cell r="AC159">
            <v>25867</v>
          </cell>
          <cell r="AD159">
            <v>25867</v>
          </cell>
          <cell r="AE159">
            <v>0</v>
          </cell>
          <cell r="AF159">
            <v>7113</v>
          </cell>
          <cell r="AG159">
            <v>7113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10000</v>
          </cell>
          <cell r="AM159">
            <v>10000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46260</v>
          </cell>
          <cell r="AS159">
            <v>46260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21000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 t="str">
            <v>0</v>
          </cell>
          <cell r="BF159">
            <v>0</v>
          </cell>
          <cell r="BG159">
            <v>21000</v>
          </cell>
          <cell r="BH159">
            <v>174907</v>
          </cell>
          <cell r="BI159">
            <v>174907</v>
          </cell>
          <cell r="BJ159">
            <v>0</v>
          </cell>
          <cell r="BK159">
            <v>0</v>
          </cell>
          <cell r="BL159">
            <v>0</v>
          </cell>
          <cell r="BM159">
            <v>200</v>
          </cell>
          <cell r="BN159">
            <v>0</v>
          </cell>
          <cell r="BO159">
            <v>0</v>
          </cell>
          <cell r="BP159">
            <v>7760</v>
          </cell>
          <cell r="BQ159">
            <v>0</v>
          </cell>
          <cell r="BR159">
            <v>7760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str">
            <v>0</v>
          </cell>
          <cell r="BZ159" t="str">
            <v>0</v>
          </cell>
          <cell r="CA159" t="str">
            <v>0</v>
          </cell>
          <cell r="CB159" t="str">
            <v>0</v>
          </cell>
          <cell r="CC159" t="str">
            <v>0</v>
          </cell>
          <cell r="CD159" t="str">
            <v>0</v>
          </cell>
          <cell r="CE159" t="str">
            <v>0</v>
          </cell>
          <cell r="CF159" t="str">
            <v>0</v>
          </cell>
          <cell r="CG159" t="str">
            <v>0</v>
          </cell>
          <cell r="CH159" t="str">
            <v>0</v>
          </cell>
          <cell r="CI159" t="str">
            <v>0</v>
          </cell>
          <cell r="CJ159" t="str">
            <v>0</v>
          </cell>
          <cell r="CK159" t="str">
            <v>0</v>
          </cell>
          <cell r="CL159" t="str">
            <v>0</v>
          </cell>
          <cell r="CM159" t="str">
            <v>0</v>
          </cell>
          <cell r="CN159" t="str">
            <v>0</v>
          </cell>
          <cell r="CO159" t="str">
            <v>0</v>
          </cell>
          <cell r="CP159" t="str">
            <v>0</v>
          </cell>
          <cell r="CQ159" t="str">
            <v>0</v>
          </cell>
          <cell r="CR159" t="str">
            <v>0</v>
          </cell>
          <cell r="CS159" t="str">
            <v>0</v>
          </cell>
          <cell r="CT159" t="str">
            <v>0</v>
          </cell>
          <cell r="CU159" t="str">
            <v>0</v>
          </cell>
          <cell r="CV159" t="str">
            <v>0</v>
          </cell>
          <cell r="CW159" t="str">
            <v>0</v>
          </cell>
          <cell r="CX159" t="str">
            <v>0</v>
          </cell>
          <cell r="CY159">
            <v>7960</v>
          </cell>
          <cell r="CZ159">
            <v>166947</v>
          </cell>
          <cell r="DA159">
            <v>0</v>
          </cell>
          <cell r="DB159">
            <v>0</v>
          </cell>
          <cell r="DC159">
            <v>166947</v>
          </cell>
        </row>
        <row r="160">
          <cell r="A160" t="str">
            <v>FS564</v>
          </cell>
          <cell r="B160" t="str">
            <v>Kundarapu Rajitha</v>
          </cell>
          <cell r="C160" t="str">
            <v>Product Engineering</v>
          </cell>
          <cell r="D160" t="str">
            <v>06-08-2025</v>
          </cell>
          <cell r="E160" t="str">
            <v>N.A</v>
          </cell>
          <cell r="F160" t="str">
            <v>2025-10</v>
          </cell>
          <cell r="G160" t="str">
            <v>Success</v>
          </cell>
          <cell r="H160" t="str">
            <v>N.A</v>
          </cell>
          <cell r="I160" t="str">
            <v/>
          </cell>
          <cell r="J160" t="str">
            <v>30</v>
          </cell>
          <cell r="K160" t="str">
            <v>0</v>
          </cell>
          <cell r="L160" t="str">
            <v>0</v>
          </cell>
          <cell r="M160" t="str">
            <v>N.A</v>
          </cell>
          <cell r="N160" t="str">
            <v>0</v>
          </cell>
          <cell r="O160" t="str">
            <v>0</v>
          </cell>
          <cell r="P160" t="str">
            <v>30</v>
          </cell>
          <cell r="Q160" t="str">
            <v>30</v>
          </cell>
          <cell r="R160" t="str">
            <v>Lead QA Engineer</v>
          </cell>
          <cell r="S160" t="str">
            <v>Delivery-IN</v>
          </cell>
          <cell r="T160" t="str">
            <v>Hyderabad</v>
          </cell>
          <cell r="U160" t="str">
            <v xml:space="preserve">Telangana </v>
          </cell>
          <cell r="V160" t="str">
            <v>'05181530007173</v>
          </cell>
          <cell r="W160" t="str">
            <v>HDFC BANK</v>
          </cell>
          <cell r="X160" t="str">
            <v>146767</v>
          </cell>
          <cell r="Y160" t="str">
            <v>CGTPK6938A</v>
          </cell>
          <cell r="Z160" t="str">
            <v>61667</v>
          </cell>
          <cell r="AA160">
            <v>61667</v>
          </cell>
          <cell r="AB160">
            <v>0</v>
          </cell>
          <cell r="AC160">
            <v>24667</v>
          </cell>
          <cell r="AD160">
            <v>24667</v>
          </cell>
          <cell r="AE160">
            <v>0</v>
          </cell>
          <cell r="AF160">
            <v>6783</v>
          </cell>
          <cell r="AG160">
            <v>6783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10000</v>
          </cell>
          <cell r="AM160">
            <v>10000</v>
          </cell>
          <cell r="AN160">
            <v>0</v>
          </cell>
          <cell r="AO160">
            <v>2200</v>
          </cell>
          <cell r="AP160">
            <v>2200</v>
          </cell>
          <cell r="AQ160">
            <v>0</v>
          </cell>
          <cell r="AR160">
            <v>41450</v>
          </cell>
          <cell r="AS160">
            <v>41450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 t="str">
            <v>0</v>
          </cell>
          <cell r="BF160">
            <v>0</v>
          </cell>
          <cell r="BG160">
            <v>0</v>
          </cell>
          <cell r="BH160">
            <v>146767</v>
          </cell>
          <cell r="BI160">
            <v>146767</v>
          </cell>
          <cell r="BJ160">
            <v>2200</v>
          </cell>
          <cell r="BK160">
            <v>0</v>
          </cell>
          <cell r="BL160">
            <v>0</v>
          </cell>
          <cell r="BM160">
            <v>200</v>
          </cell>
          <cell r="BN160">
            <v>0</v>
          </cell>
          <cell r="BO160">
            <v>0</v>
          </cell>
          <cell r="BP160">
            <v>7400</v>
          </cell>
          <cell r="BQ160">
            <v>0</v>
          </cell>
          <cell r="BR160">
            <v>7400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 t="str">
            <v>0</v>
          </cell>
          <cell r="BZ160" t="str">
            <v>0</v>
          </cell>
          <cell r="CA160" t="str">
            <v>0</v>
          </cell>
          <cell r="CB160" t="str">
            <v>0</v>
          </cell>
          <cell r="CC160" t="str">
            <v>0</v>
          </cell>
          <cell r="CD160" t="str">
            <v>0</v>
          </cell>
          <cell r="CE160" t="str">
            <v>0</v>
          </cell>
          <cell r="CF160" t="str">
            <v>0</v>
          </cell>
          <cell r="CG160" t="str">
            <v>0</v>
          </cell>
          <cell r="CH160" t="str">
            <v>0</v>
          </cell>
          <cell r="CI160" t="str">
            <v>0</v>
          </cell>
          <cell r="CJ160" t="str">
            <v>0</v>
          </cell>
          <cell r="CK160" t="str">
            <v>0</v>
          </cell>
          <cell r="CL160" t="str">
            <v>0</v>
          </cell>
          <cell r="CM160" t="str">
            <v>0</v>
          </cell>
          <cell r="CN160" t="str">
            <v>0</v>
          </cell>
          <cell r="CO160" t="str">
            <v>0</v>
          </cell>
          <cell r="CP160" t="str">
            <v>0</v>
          </cell>
          <cell r="CQ160" t="str">
            <v>0</v>
          </cell>
          <cell r="CR160" t="str">
            <v>0</v>
          </cell>
          <cell r="CS160" t="str">
            <v>0</v>
          </cell>
          <cell r="CT160" t="str">
            <v>0</v>
          </cell>
          <cell r="CU160" t="str">
            <v>0</v>
          </cell>
          <cell r="CV160" t="str">
            <v>0</v>
          </cell>
          <cell r="CW160" t="str">
            <v>0</v>
          </cell>
          <cell r="CX160" t="str">
            <v>0</v>
          </cell>
          <cell r="CY160">
            <v>9800</v>
          </cell>
          <cell r="CZ160">
            <v>136967</v>
          </cell>
          <cell r="DA160">
            <v>0</v>
          </cell>
          <cell r="DB160">
            <v>0</v>
          </cell>
          <cell r="DC160">
            <v>136967</v>
          </cell>
        </row>
        <row r="161">
          <cell r="A161" t="str">
            <v>FS566</v>
          </cell>
          <cell r="B161" t="str">
            <v>Shankar Gounder</v>
          </cell>
          <cell r="C161" t="str">
            <v>Quality Engineering</v>
          </cell>
          <cell r="D161" t="str">
            <v>12-08-2025</v>
          </cell>
          <cell r="E161" t="str">
            <v>N.A</v>
          </cell>
          <cell r="F161" t="str">
            <v>2025-10</v>
          </cell>
          <cell r="G161" t="str">
            <v>Success</v>
          </cell>
          <cell r="H161" t="str">
            <v>N.A</v>
          </cell>
          <cell r="I161" t="str">
            <v/>
          </cell>
          <cell r="J161" t="str">
            <v>30</v>
          </cell>
          <cell r="K161" t="str">
            <v>0</v>
          </cell>
          <cell r="L161" t="str">
            <v>0</v>
          </cell>
          <cell r="M161" t="str">
            <v>N.A</v>
          </cell>
          <cell r="N161" t="str">
            <v>0</v>
          </cell>
          <cell r="O161" t="str">
            <v>0</v>
          </cell>
          <cell r="P161" t="str">
            <v>30</v>
          </cell>
          <cell r="Q161" t="str">
            <v>30</v>
          </cell>
          <cell r="R161" t="str">
            <v>Senior Software Engineer</v>
          </cell>
          <cell r="S161" t="str">
            <v>Delivery-IN</v>
          </cell>
          <cell r="T161" t="str">
            <v>Hyderabad</v>
          </cell>
          <cell r="U161" t="str">
            <v xml:space="preserve">Telangana </v>
          </cell>
          <cell r="V161" t="str">
            <v>917010047826850</v>
          </cell>
          <cell r="W161" t="str">
            <v>AXIS BANK</v>
          </cell>
          <cell r="X161" t="str">
            <v>174533</v>
          </cell>
          <cell r="Y161" t="str">
            <v>BCEPG7091J</v>
          </cell>
          <cell r="Z161" t="str">
            <v>73333</v>
          </cell>
          <cell r="AA161">
            <v>73333</v>
          </cell>
          <cell r="AB161">
            <v>0</v>
          </cell>
          <cell r="AC161">
            <v>29333</v>
          </cell>
          <cell r="AD161">
            <v>29333</v>
          </cell>
          <cell r="AE161">
            <v>0</v>
          </cell>
          <cell r="AF161">
            <v>8067</v>
          </cell>
          <cell r="AG161">
            <v>8067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10000</v>
          </cell>
          <cell r="AM161">
            <v>10000</v>
          </cell>
          <cell r="AN161">
            <v>0</v>
          </cell>
          <cell r="AO161">
            <v>2200</v>
          </cell>
          <cell r="AP161">
            <v>2200</v>
          </cell>
          <cell r="AQ161">
            <v>0</v>
          </cell>
          <cell r="AR161">
            <v>51600</v>
          </cell>
          <cell r="AS161">
            <v>51600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 t="str">
            <v>0</v>
          </cell>
          <cell r="BF161">
            <v>0</v>
          </cell>
          <cell r="BG161">
            <v>0</v>
          </cell>
          <cell r="BH161">
            <v>174533</v>
          </cell>
          <cell r="BI161">
            <v>174533</v>
          </cell>
          <cell r="BJ161">
            <v>2200</v>
          </cell>
          <cell r="BK161">
            <v>0</v>
          </cell>
          <cell r="BL161">
            <v>3583</v>
          </cell>
          <cell r="BM161">
            <v>200</v>
          </cell>
          <cell r="BN161">
            <v>0</v>
          </cell>
          <cell r="BO161">
            <v>0</v>
          </cell>
          <cell r="BP161">
            <v>8800</v>
          </cell>
          <cell r="BQ161">
            <v>0</v>
          </cell>
          <cell r="BR161">
            <v>8800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str">
            <v>0</v>
          </cell>
          <cell r="BZ161" t="str">
            <v>0</v>
          </cell>
          <cell r="CA161" t="str">
            <v>0</v>
          </cell>
          <cell r="CB161" t="str">
            <v>0</v>
          </cell>
          <cell r="CC161" t="str">
            <v>0</v>
          </cell>
          <cell r="CD161" t="str">
            <v>0</v>
          </cell>
          <cell r="CE161" t="str">
            <v>0</v>
          </cell>
          <cell r="CF161" t="str">
            <v>0</v>
          </cell>
          <cell r="CG161" t="str">
            <v>0</v>
          </cell>
          <cell r="CH161" t="str">
            <v>0</v>
          </cell>
          <cell r="CI161" t="str">
            <v>0</v>
          </cell>
          <cell r="CJ161" t="str">
            <v>0</v>
          </cell>
          <cell r="CK161" t="str">
            <v>0</v>
          </cell>
          <cell r="CL161" t="str">
            <v>0</v>
          </cell>
          <cell r="CM161" t="str">
            <v>0</v>
          </cell>
          <cell r="CN161" t="str">
            <v>0</v>
          </cell>
          <cell r="CO161" t="str">
            <v>0</v>
          </cell>
          <cell r="CP161" t="str">
            <v>0</v>
          </cell>
          <cell r="CQ161" t="str">
            <v>0</v>
          </cell>
          <cell r="CR161" t="str">
            <v>0</v>
          </cell>
          <cell r="CS161" t="str">
            <v>0</v>
          </cell>
          <cell r="CT161" t="str">
            <v>0</v>
          </cell>
          <cell r="CU161" t="str">
            <v>0</v>
          </cell>
          <cell r="CV161" t="str">
            <v>0</v>
          </cell>
          <cell r="CW161" t="str">
            <v>0</v>
          </cell>
          <cell r="CX161" t="str">
            <v>0</v>
          </cell>
          <cell r="CY161">
            <v>14783</v>
          </cell>
          <cell r="CZ161">
            <v>159750</v>
          </cell>
          <cell r="DA161">
            <v>0</v>
          </cell>
          <cell r="DB161">
            <v>0</v>
          </cell>
          <cell r="DC161">
            <v>159750</v>
          </cell>
        </row>
        <row r="162">
          <cell r="A162" t="str">
            <v>FS567</v>
          </cell>
          <cell r="B162" t="str">
            <v>Riaz Ahmed MG</v>
          </cell>
          <cell r="C162" t="str">
            <v>Product Engineering</v>
          </cell>
          <cell r="D162" t="str">
            <v>18-08-2025</v>
          </cell>
          <cell r="E162" t="str">
            <v>N.A</v>
          </cell>
          <cell r="F162" t="str">
            <v>2025-10</v>
          </cell>
          <cell r="G162" t="str">
            <v>Success</v>
          </cell>
          <cell r="H162" t="str">
            <v>N.A</v>
          </cell>
          <cell r="I162" t="str">
            <v/>
          </cell>
          <cell r="J162" t="str">
            <v>30</v>
          </cell>
          <cell r="K162" t="str">
            <v>0</v>
          </cell>
          <cell r="L162" t="str">
            <v>0</v>
          </cell>
          <cell r="M162" t="str">
            <v>N.A</v>
          </cell>
          <cell r="N162" t="str">
            <v>0</v>
          </cell>
          <cell r="O162" t="str">
            <v>0</v>
          </cell>
          <cell r="P162" t="str">
            <v>30</v>
          </cell>
          <cell r="Q162" t="str">
            <v>30</v>
          </cell>
          <cell r="R162" t="str">
            <v>Senior Software Engineer I</v>
          </cell>
          <cell r="S162" t="str">
            <v>Delivery-IN</v>
          </cell>
          <cell r="T162" t="str">
            <v>Hyderabad</v>
          </cell>
          <cell r="U162" t="str">
            <v xml:space="preserve">Telangana </v>
          </cell>
          <cell r="V162" t="str">
            <v>50100831450117</v>
          </cell>
          <cell r="W162" t="str">
            <v>HDFC BANK</v>
          </cell>
          <cell r="X162" t="str">
            <v>182117</v>
          </cell>
          <cell r="Y162" t="str">
            <v>CGAPR5134E</v>
          </cell>
          <cell r="Z162" t="str">
            <v>73567</v>
          </cell>
          <cell r="AA162">
            <v>73567</v>
          </cell>
          <cell r="AB162">
            <v>0</v>
          </cell>
          <cell r="AC162">
            <v>29427</v>
          </cell>
          <cell r="AD162">
            <v>29427</v>
          </cell>
          <cell r="AE162">
            <v>0</v>
          </cell>
          <cell r="AF162">
            <v>8092</v>
          </cell>
          <cell r="AG162">
            <v>8092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10000</v>
          </cell>
          <cell r="AM162">
            <v>10000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61031</v>
          </cell>
          <cell r="AS162">
            <v>61031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 t="str">
            <v>0</v>
          </cell>
          <cell r="BF162">
            <v>0</v>
          </cell>
          <cell r="BG162">
            <v>0</v>
          </cell>
          <cell r="BH162">
            <v>182117</v>
          </cell>
          <cell r="BI162">
            <v>182117</v>
          </cell>
          <cell r="BJ162">
            <v>0</v>
          </cell>
          <cell r="BK162">
            <v>0</v>
          </cell>
          <cell r="BL162">
            <v>11099</v>
          </cell>
          <cell r="BM162">
            <v>200</v>
          </cell>
          <cell r="BN162">
            <v>0</v>
          </cell>
          <cell r="BO162">
            <v>0</v>
          </cell>
          <cell r="BP162">
            <v>1800</v>
          </cell>
          <cell r="BQ162">
            <v>0</v>
          </cell>
          <cell r="BR162">
            <v>1800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str">
            <v>0</v>
          </cell>
          <cell r="BZ162" t="str">
            <v>0</v>
          </cell>
          <cell r="CA162" t="str">
            <v>0</v>
          </cell>
          <cell r="CB162" t="str">
            <v>0</v>
          </cell>
          <cell r="CC162" t="str">
            <v>0</v>
          </cell>
          <cell r="CD162" t="str">
            <v>0</v>
          </cell>
          <cell r="CE162" t="str">
            <v>0</v>
          </cell>
          <cell r="CF162" t="str">
            <v>0</v>
          </cell>
          <cell r="CG162" t="str">
            <v>0</v>
          </cell>
          <cell r="CH162" t="str">
            <v>0</v>
          </cell>
          <cell r="CI162" t="str">
            <v>0</v>
          </cell>
          <cell r="CJ162" t="str">
            <v>0</v>
          </cell>
          <cell r="CK162" t="str">
            <v>0</v>
          </cell>
          <cell r="CL162" t="str">
            <v>0</v>
          </cell>
          <cell r="CM162" t="str">
            <v>0</v>
          </cell>
          <cell r="CN162" t="str">
            <v>0</v>
          </cell>
          <cell r="CO162" t="str">
            <v>0</v>
          </cell>
          <cell r="CP162" t="str">
            <v>0</v>
          </cell>
          <cell r="CQ162" t="str">
            <v>0</v>
          </cell>
          <cell r="CR162" t="str">
            <v>0</v>
          </cell>
          <cell r="CS162" t="str">
            <v>0</v>
          </cell>
          <cell r="CT162" t="str">
            <v>0</v>
          </cell>
          <cell r="CU162" t="str">
            <v>0</v>
          </cell>
          <cell r="CV162" t="str">
            <v>0</v>
          </cell>
          <cell r="CW162" t="str">
            <v>0</v>
          </cell>
          <cell r="CX162" t="str">
            <v>0</v>
          </cell>
          <cell r="CY162">
            <v>13099</v>
          </cell>
          <cell r="CZ162">
            <v>169018</v>
          </cell>
          <cell r="DA162">
            <v>0</v>
          </cell>
          <cell r="DB162">
            <v>0</v>
          </cell>
          <cell r="DC162">
            <v>169018</v>
          </cell>
        </row>
        <row r="163">
          <cell r="A163" t="str">
            <v>FS568</v>
          </cell>
          <cell r="B163" t="str">
            <v>PRANSHU KUMAR SINGH</v>
          </cell>
          <cell r="C163" t="str">
            <v>Product Engineering</v>
          </cell>
          <cell r="D163" t="str">
            <v>18-08-2025</v>
          </cell>
          <cell r="E163" t="str">
            <v>N.A</v>
          </cell>
          <cell r="F163" t="str">
            <v>2025-10</v>
          </cell>
          <cell r="G163" t="str">
            <v>Success</v>
          </cell>
          <cell r="H163" t="str">
            <v>N.A</v>
          </cell>
          <cell r="I163" t="str">
            <v/>
          </cell>
          <cell r="J163" t="str">
            <v>30</v>
          </cell>
          <cell r="K163" t="str">
            <v>0</v>
          </cell>
          <cell r="L163" t="str">
            <v>0</v>
          </cell>
          <cell r="M163" t="str">
            <v>N.A</v>
          </cell>
          <cell r="N163" t="str">
            <v>0</v>
          </cell>
          <cell r="O163" t="str">
            <v>0</v>
          </cell>
          <cell r="P163" t="str">
            <v>30</v>
          </cell>
          <cell r="Q163" t="str">
            <v>30</v>
          </cell>
          <cell r="R163" t="str">
            <v>Senior Software Engineer</v>
          </cell>
          <cell r="S163" t="str">
            <v>Delivery-IN</v>
          </cell>
          <cell r="T163" t="str">
            <v>Hyderabad</v>
          </cell>
          <cell r="U163" t="str">
            <v xml:space="preserve">Telangana </v>
          </cell>
          <cell r="V163" t="str">
            <v>50100248223912</v>
          </cell>
          <cell r="W163" t="str">
            <v>HDFC BANK</v>
          </cell>
          <cell r="X163" t="str">
            <v>212700</v>
          </cell>
          <cell r="Y163" t="str">
            <v>FWQPS8950G</v>
          </cell>
          <cell r="Z163" t="str">
            <v>77000</v>
          </cell>
          <cell r="AA163">
            <v>77000</v>
          </cell>
          <cell r="AB163">
            <v>0</v>
          </cell>
          <cell r="AC163">
            <v>30800</v>
          </cell>
          <cell r="AD163">
            <v>30800</v>
          </cell>
          <cell r="AE163">
            <v>0</v>
          </cell>
          <cell r="AF163">
            <v>8470</v>
          </cell>
          <cell r="AG163">
            <v>8470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10000</v>
          </cell>
          <cell r="AM163">
            <v>10000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64430</v>
          </cell>
          <cell r="AS163">
            <v>64430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22000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 t="str">
            <v>0</v>
          </cell>
          <cell r="BF163">
            <v>0</v>
          </cell>
          <cell r="BG163">
            <v>22000</v>
          </cell>
          <cell r="BH163">
            <v>212700</v>
          </cell>
          <cell r="BI163">
            <v>212700</v>
          </cell>
          <cell r="BJ163">
            <v>0</v>
          </cell>
          <cell r="BK163">
            <v>0</v>
          </cell>
          <cell r="BL163">
            <v>12401</v>
          </cell>
          <cell r="BM163">
            <v>200</v>
          </cell>
          <cell r="BN163">
            <v>0</v>
          </cell>
          <cell r="BO163">
            <v>0</v>
          </cell>
          <cell r="BP163">
            <v>1800</v>
          </cell>
          <cell r="BQ163">
            <v>0</v>
          </cell>
          <cell r="BR163">
            <v>1800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str">
            <v>0</v>
          </cell>
          <cell r="BZ163" t="str">
            <v>0</v>
          </cell>
          <cell r="CA163" t="str">
            <v>0</v>
          </cell>
          <cell r="CB163" t="str">
            <v>0</v>
          </cell>
          <cell r="CC163" t="str">
            <v>0</v>
          </cell>
          <cell r="CD163" t="str">
            <v>0</v>
          </cell>
          <cell r="CE163" t="str">
            <v>0</v>
          </cell>
          <cell r="CF163" t="str">
            <v>0</v>
          </cell>
          <cell r="CG163" t="str">
            <v>0</v>
          </cell>
          <cell r="CH163" t="str">
            <v>0</v>
          </cell>
          <cell r="CI163" t="str">
            <v>0</v>
          </cell>
          <cell r="CJ163" t="str">
            <v>0</v>
          </cell>
          <cell r="CK163" t="str">
            <v>0</v>
          </cell>
          <cell r="CL163" t="str">
            <v>0</v>
          </cell>
          <cell r="CM163" t="str">
            <v>0</v>
          </cell>
          <cell r="CN163" t="str">
            <v>0</v>
          </cell>
          <cell r="CO163" t="str">
            <v>0</v>
          </cell>
          <cell r="CP163" t="str">
            <v>0</v>
          </cell>
          <cell r="CQ163" t="str">
            <v>0</v>
          </cell>
          <cell r="CR163" t="str">
            <v>0</v>
          </cell>
          <cell r="CS163" t="str">
            <v>0</v>
          </cell>
          <cell r="CT163" t="str">
            <v>0</v>
          </cell>
          <cell r="CU163" t="str">
            <v>0</v>
          </cell>
          <cell r="CV163" t="str">
            <v>0</v>
          </cell>
          <cell r="CW163" t="str">
            <v>0</v>
          </cell>
          <cell r="CX163" t="str">
            <v>0</v>
          </cell>
          <cell r="CY163">
            <v>14401</v>
          </cell>
          <cell r="CZ163">
            <v>198299</v>
          </cell>
          <cell r="DA163">
            <v>0</v>
          </cell>
          <cell r="DB163">
            <v>0</v>
          </cell>
          <cell r="DC163">
            <v>198299</v>
          </cell>
        </row>
        <row r="164">
          <cell r="A164" t="str">
            <v>FS569</v>
          </cell>
          <cell r="B164" t="str">
            <v>Kavuri Sree Sumanth</v>
          </cell>
          <cell r="C164" t="str">
            <v>Quality Engineering</v>
          </cell>
          <cell r="D164" t="str">
            <v>26-08-2025</v>
          </cell>
          <cell r="E164" t="str">
            <v>N.A</v>
          </cell>
          <cell r="F164" t="str">
            <v>2025-10</v>
          </cell>
          <cell r="G164" t="str">
            <v>Success</v>
          </cell>
          <cell r="H164" t="str">
            <v>N.A</v>
          </cell>
          <cell r="I164" t="str">
            <v/>
          </cell>
          <cell r="J164" t="str">
            <v>30</v>
          </cell>
          <cell r="K164" t="str">
            <v>0</v>
          </cell>
          <cell r="L164" t="str">
            <v>0</v>
          </cell>
          <cell r="M164" t="str">
            <v>N.A</v>
          </cell>
          <cell r="N164" t="str">
            <v>0</v>
          </cell>
          <cell r="O164" t="str">
            <v>0</v>
          </cell>
          <cell r="P164" t="str">
            <v>30</v>
          </cell>
          <cell r="Q164" t="str">
            <v>30</v>
          </cell>
          <cell r="R164" t="str">
            <v>Senior Platform Engineer</v>
          </cell>
          <cell r="S164" t="str">
            <v>Delivery-IN</v>
          </cell>
          <cell r="T164" t="str">
            <v>Hyderabad</v>
          </cell>
          <cell r="U164" t="str">
            <v xml:space="preserve">Telangana </v>
          </cell>
          <cell r="V164" t="str">
            <v>38511098630</v>
          </cell>
          <cell r="W164" t="str">
            <v>STATE BANK OF INDIA</v>
          </cell>
          <cell r="X164" t="str">
            <v>234696</v>
          </cell>
          <cell r="Y164" t="str">
            <v>ELQPK1073J</v>
          </cell>
          <cell r="Z164" t="str">
            <v>81300</v>
          </cell>
          <cell r="AA164">
            <v>81300</v>
          </cell>
          <cell r="AB164">
            <v>0</v>
          </cell>
          <cell r="AC164">
            <v>32520</v>
          </cell>
          <cell r="AD164">
            <v>32520</v>
          </cell>
          <cell r="AE164">
            <v>0</v>
          </cell>
          <cell r="AF164">
            <v>8943</v>
          </cell>
          <cell r="AG164">
            <v>8943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10000</v>
          </cell>
          <cell r="AM164">
            <v>10000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68687</v>
          </cell>
          <cell r="AS164">
            <v>68687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20000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 t="str">
            <v>0</v>
          </cell>
          <cell r="BF164">
            <v>13246</v>
          </cell>
          <cell r="BG164">
            <v>33246</v>
          </cell>
          <cell r="BH164">
            <v>234696</v>
          </cell>
          <cell r="BI164">
            <v>221450</v>
          </cell>
          <cell r="BJ164">
            <v>0</v>
          </cell>
          <cell r="BK164">
            <v>0</v>
          </cell>
          <cell r="BL164">
            <v>12902</v>
          </cell>
          <cell r="BM164">
            <v>200</v>
          </cell>
          <cell r="BN164">
            <v>0</v>
          </cell>
          <cell r="BO164">
            <v>0</v>
          </cell>
          <cell r="BP164">
            <v>1800</v>
          </cell>
          <cell r="BQ164">
            <v>0</v>
          </cell>
          <cell r="BR164">
            <v>1800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str">
            <v>0</v>
          </cell>
          <cell r="BZ164" t="str">
            <v>0</v>
          </cell>
          <cell r="CA164" t="str">
            <v>0</v>
          </cell>
          <cell r="CB164" t="str">
            <v>0</v>
          </cell>
          <cell r="CC164" t="str">
            <v>0</v>
          </cell>
          <cell r="CD164" t="str">
            <v>0</v>
          </cell>
          <cell r="CE164" t="str">
            <v>0</v>
          </cell>
          <cell r="CF164" t="str">
            <v>0</v>
          </cell>
          <cell r="CG164" t="str">
            <v>0</v>
          </cell>
          <cell r="CH164" t="str">
            <v>0</v>
          </cell>
          <cell r="CI164" t="str">
            <v>0</v>
          </cell>
          <cell r="CJ164" t="str">
            <v>0</v>
          </cell>
          <cell r="CK164" t="str">
            <v>0</v>
          </cell>
          <cell r="CL164" t="str">
            <v>0</v>
          </cell>
          <cell r="CM164" t="str">
            <v>0</v>
          </cell>
          <cell r="CN164" t="str">
            <v>0</v>
          </cell>
          <cell r="CO164" t="str">
            <v>0</v>
          </cell>
          <cell r="CP164" t="str">
            <v>0</v>
          </cell>
          <cell r="CQ164" t="str">
            <v>0</v>
          </cell>
          <cell r="CR164" t="str">
            <v>0</v>
          </cell>
          <cell r="CS164" t="str">
            <v>0</v>
          </cell>
          <cell r="CT164" t="str">
            <v>0</v>
          </cell>
          <cell r="CU164" t="str">
            <v>0</v>
          </cell>
          <cell r="CV164" t="str">
            <v>0</v>
          </cell>
          <cell r="CW164" t="str">
            <v>0</v>
          </cell>
          <cell r="CX164" t="str">
            <v>0</v>
          </cell>
          <cell r="CY164">
            <v>14902</v>
          </cell>
          <cell r="CZ164">
            <v>219794</v>
          </cell>
          <cell r="DA164">
            <v>0</v>
          </cell>
          <cell r="DB164">
            <v>0</v>
          </cell>
          <cell r="DC164">
            <v>219794</v>
          </cell>
        </row>
        <row r="165">
          <cell r="A165" t="str">
            <v>FS570</v>
          </cell>
          <cell r="B165" t="str">
            <v>Kongani Venkat Rao</v>
          </cell>
          <cell r="C165" t="str">
            <v>Corporate</v>
          </cell>
          <cell r="D165" t="str">
            <v>28-08-2025</v>
          </cell>
          <cell r="E165" t="str">
            <v>N.A</v>
          </cell>
          <cell r="F165" t="str">
            <v>2025-10</v>
          </cell>
          <cell r="G165" t="str">
            <v>Success</v>
          </cell>
          <cell r="H165" t="str">
            <v>N.A</v>
          </cell>
          <cell r="I165" t="str">
            <v/>
          </cell>
          <cell r="J165" t="str">
            <v>30</v>
          </cell>
          <cell r="K165" t="str">
            <v>0</v>
          </cell>
          <cell r="L165" t="str">
            <v>0</v>
          </cell>
          <cell r="M165" t="str">
            <v>N.A</v>
          </cell>
          <cell r="N165" t="str">
            <v>0</v>
          </cell>
          <cell r="O165" t="str">
            <v>0</v>
          </cell>
          <cell r="P165" t="str">
            <v>30</v>
          </cell>
          <cell r="Q165" t="str">
            <v>30</v>
          </cell>
          <cell r="R165" t="str">
            <v>Senior Vice President - Delivery and Client Success</v>
          </cell>
          <cell r="S165" t="str">
            <v>Digital Engineering</v>
          </cell>
          <cell r="T165" t="str">
            <v>Hyderabad</v>
          </cell>
          <cell r="U165" t="str">
            <v xml:space="preserve">Telangana </v>
          </cell>
          <cell r="V165" t="str">
            <v>03171140005218</v>
          </cell>
          <cell r="W165" t="str">
            <v>HDFC BANK</v>
          </cell>
          <cell r="X165" t="str">
            <v>594286</v>
          </cell>
          <cell r="Y165" t="str">
            <v>AISPK4392H</v>
          </cell>
          <cell r="Z165" t="str">
            <v>249700</v>
          </cell>
          <cell r="AA165">
            <v>249700</v>
          </cell>
          <cell r="AB165">
            <v>0</v>
          </cell>
          <cell r="AC165">
            <v>99880</v>
          </cell>
          <cell r="AD165">
            <v>99880</v>
          </cell>
          <cell r="AE165">
            <v>0</v>
          </cell>
          <cell r="AF165">
            <v>27467</v>
          </cell>
          <cell r="AG165">
            <v>27467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10000</v>
          </cell>
          <cell r="AM165">
            <v>10000</v>
          </cell>
          <cell r="AN165">
            <v>0</v>
          </cell>
          <cell r="AO165">
            <v>2200</v>
          </cell>
          <cell r="AP165">
            <v>2200</v>
          </cell>
          <cell r="AQ165">
            <v>0</v>
          </cell>
          <cell r="AR165">
            <v>205039</v>
          </cell>
          <cell r="AS165">
            <v>205039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 t="str">
            <v>0</v>
          </cell>
          <cell r="BF165">
            <v>0</v>
          </cell>
          <cell r="BG165">
            <v>0</v>
          </cell>
          <cell r="BH165">
            <v>594286</v>
          </cell>
          <cell r="BI165">
            <v>594286</v>
          </cell>
          <cell r="BJ165">
            <v>2200</v>
          </cell>
          <cell r="BK165">
            <v>0</v>
          </cell>
          <cell r="BL165">
            <v>119234</v>
          </cell>
          <cell r="BM165">
            <v>200</v>
          </cell>
          <cell r="BN165">
            <v>0</v>
          </cell>
          <cell r="BO165">
            <v>0</v>
          </cell>
          <cell r="BP165">
            <v>29964</v>
          </cell>
          <cell r="BQ165">
            <v>0</v>
          </cell>
          <cell r="BR165">
            <v>29964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str">
            <v>0</v>
          </cell>
          <cell r="BZ165" t="str">
            <v>0</v>
          </cell>
          <cell r="CA165" t="str">
            <v>0</v>
          </cell>
          <cell r="CB165" t="str">
            <v>0</v>
          </cell>
          <cell r="CC165" t="str">
            <v>0</v>
          </cell>
          <cell r="CD165" t="str">
            <v>0</v>
          </cell>
          <cell r="CE165" t="str">
            <v>0</v>
          </cell>
          <cell r="CF165" t="str">
            <v>0</v>
          </cell>
          <cell r="CG165" t="str">
            <v>0</v>
          </cell>
          <cell r="CH165" t="str">
            <v>0</v>
          </cell>
          <cell r="CI165" t="str">
            <v>0</v>
          </cell>
          <cell r="CJ165" t="str">
            <v>0</v>
          </cell>
          <cell r="CK165" t="str">
            <v>0</v>
          </cell>
          <cell r="CL165" t="str">
            <v>0</v>
          </cell>
          <cell r="CM165" t="str">
            <v>0</v>
          </cell>
          <cell r="CN165" t="str">
            <v>0</v>
          </cell>
          <cell r="CO165" t="str">
            <v>0</v>
          </cell>
          <cell r="CP165" t="str">
            <v>0</v>
          </cell>
          <cell r="CQ165" t="str">
            <v>0</v>
          </cell>
          <cell r="CR165" t="str">
            <v>0</v>
          </cell>
          <cell r="CS165" t="str">
            <v>0</v>
          </cell>
          <cell r="CT165" t="str">
            <v>0</v>
          </cell>
          <cell r="CU165" t="str">
            <v>0</v>
          </cell>
          <cell r="CV165" t="str">
            <v>0</v>
          </cell>
          <cell r="CW165" t="str">
            <v>0</v>
          </cell>
          <cell r="CX165" t="str">
            <v>0</v>
          </cell>
          <cell r="CY165">
            <v>151598</v>
          </cell>
          <cell r="CZ165">
            <v>442688</v>
          </cell>
          <cell r="DA165">
            <v>0</v>
          </cell>
          <cell r="DB165">
            <v>0</v>
          </cell>
          <cell r="DC165">
            <v>442688</v>
          </cell>
        </row>
        <row r="166">
          <cell r="A166" t="str">
            <v>FS571</v>
          </cell>
          <cell r="B166" t="str">
            <v>Bingi Avinash Goud</v>
          </cell>
          <cell r="C166" t="str">
            <v>Quality Engineering</v>
          </cell>
          <cell r="D166" t="str">
            <v>28-08-2025</v>
          </cell>
          <cell r="E166" t="str">
            <v>N.A</v>
          </cell>
          <cell r="F166" t="str">
            <v>2025-10</v>
          </cell>
          <cell r="G166" t="str">
            <v>Success</v>
          </cell>
          <cell r="H166" t="str">
            <v>N.A</v>
          </cell>
          <cell r="I166" t="str">
            <v/>
          </cell>
          <cell r="J166" t="str">
            <v>30</v>
          </cell>
          <cell r="K166" t="str">
            <v>0</v>
          </cell>
          <cell r="L166" t="str">
            <v>0</v>
          </cell>
          <cell r="M166" t="str">
            <v>N.A</v>
          </cell>
          <cell r="N166" t="str">
            <v>0</v>
          </cell>
          <cell r="O166" t="str">
            <v>0</v>
          </cell>
          <cell r="P166" t="str">
            <v>30</v>
          </cell>
          <cell r="Q166" t="str">
            <v>30</v>
          </cell>
          <cell r="R166" t="str">
            <v>Senior QA Engineer</v>
          </cell>
          <cell r="S166" t="str">
            <v>Delivery-IN</v>
          </cell>
          <cell r="T166" t="str">
            <v>Hyderabad</v>
          </cell>
          <cell r="U166" t="str">
            <v xml:space="preserve">Telangana </v>
          </cell>
          <cell r="V166" t="str">
            <v>50100217527652</v>
          </cell>
          <cell r="W166" t="str">
            <v>HDFC BANK</v>
          </cell>
          <cell r="X166" t="str">
            <v>140117</v>
          </cell>
          <cell r="Y166" t="str">
            <v>BJLPG7110G</v>
          </cell>
          <cell r="Z166" t="str">
            <v>56767</v>
          </cell>
          <cell r="AA166">
            <v>56767</v>
          </cell>
          <cell r="AB166">
            <v>0</v>
          </cell>
          <cell r="AC166">
            <v>22707</v>
          </cell>
          <cell r="AD166">
            <v>22707</v>
          </cell>
          <cell r="AE166">
            <v>0</v>
          </cell>
          <cell r="AF166">
            <v>6244</v>
          </cell>
          <cell r="AG166">
            <v>6244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10000</v>
          </cell>
          <cell r="AM166">
            <v>10000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44399</v>
          </cell>
          <cell r="AS166">
            <v>44399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 t="str">
            <v>0</v>
          </cell>
          <cell r="BF166">
            <v>0</v>
          </cell>
          <cell r="BG166">
            <v>0</v>
          </cell>
          <cell r="BH166">
            <v>140117</v>
          </cell>
          <cell r="BI166">
            <v>140117</v>
          </cell>
          <cell r="BJ166">
            <v>0</v>
          </cell>
          <cell r="BK166">
            <v>0</v>
          </cell>
          <cell r="BL166">
            <v>0</v>
          </cell>
          <cell r="BM166">
            <v>200</v>
          </cell>
          <cell r="BN166">
            <v>0</v>
          </cell>
          <cell r="BO166">
            <v>0</v>
          </cell>
          <cell r="BP166">
            <v>1800</v>
          </cell>
          <cell r="BQ166">
            <v>0</v>
          </cell>
          <cell r="BR166">
            <v>1800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 t="str">
            <v>0</v>
          </cell>
          <cell r="BZ166" t="str">
            <v>0</v>
          </cell>
          <cell r="CA166" t="str">
            <v>0</v>
          </cell>
          <cell r="CB166" t="str">
            <v>0</v>
          </cell>
          <cell r="CC166" t="str">
            <v>0</v>
          </cell>
          <cell r="CD166" t="str">
            <v>0</v>
          </cell>
          <cell r="CE166" t="str">
            <v>0</v>
          </cell>
          <cell r="CF166" t="str">
            <v>0</v>
          </cell>
          <cell r="CG166" t="str">
            <v>0</v>
          </cell>
          <cell r="CH166" t="str">
            <v>0</v>
          </cell>
          <cell r="CI166" t="str">
            <v>0</v>
          </cell>
          <cell r="CJ166" t="str">
            <v>0</v>
          </cell>
          <cell r="CK166" t="str">
            <v>0</v>
          </cell>
          <cell r="CL166" t="str">
            <v>0</v>
          </cell>
          <cell r="CM166" t="str">
            <v>0</v>
          </cell>
          <cell r="CN166" t="str">
            <v>0</v>
          </cell>
          <cell r="CO166" t="str">
            <v>0</v>
          </cell>
          <cell r="CP166" t="str">
            <v>0</v>
          </cell>
          <cell r="CQ166" t="str">
            <v>0</v>
          </cell>
          <cell r="CR166" t="str">
            <v>0</v>
          </cell>
          <cell r="CS166" t="str">
            <v>0</v>
          </cell>
          <cell r="CT166" t="str">
            <v>0</v>
          </cell>
          <cell r="CU166" t="str">
            <v>0</v>
          </cell>
          <cell r="CV166" t="str">
            <v>0</v>
          </cell>
          <cell r="CW166" t="str">
            <v>0</v>
          </cell>
          <cell r="CX166" t="str">
            <v>0</v>
          </cell>
          <cell r="CY166">
            <v>2000</v>
          </cell>
          <cell r="CZ166">
            <v>138117</v>
          </cell>
          <cell r="DA166">
            <v>0</v>
          </cell>
          <cell r="DB166">
            <v>0</v>
          </cell>
          <cell r="DC166">
            <v>138117</v>
          </cell>
        </row>
        <row r="167">
          <cell r="A167" t="str">
            <v>FS572</v>
          </cell>
          <cell r="B167" t="str">
            <v>Kodam Srikanth</v>
          </cell>
          <cell r="C167" t="str">
            <v>Quality Engineering</v>
          </cell>
          <cell r="D167" t="str">
            <v>28-08-2025</v>
          </cell>
          <cell r="E167" t="str">
            <v>N.A</v>
          </cell>
          <cell r="F167" t="str">
            <v>2025-10</v>
          </cell>
          <cell r="G167" t="str">
            <v>Success</v>
          </cell>
          <cell r="H167" t="str">
            <v>N.A</v>
          </cell>
          <cell r="I167" t="str">
            <v/>
          </cell>
          <cell r="J167" t="str">
            <v>30</v>
          </cell>
          <cell r="K167" t="str">
            <v>0</v>
          </cell>
          <cell r="L167" t="str">
            <v>0</v>
          </cell>
          <cell r="M167" t="str">
            <v>N.A</v>
          </cell>
          <cell r="N167" t="str">
            <v>0</v>
          </cell>
          <cell r="O167" t="str">
            <v>0</v>
          </cell>
          <cell r="P167" t="str">
            <v>30</v>
          </cell>
          <cell r="Q167" t="str">
            <v>30</v>
          </cell>
          <cell r="R167" t="str">
            <v>Senior Software Engineer</v>
          </cell>
          <cell r="S167" t="str">
            <v>Delivery-IN</v>
          </cell>
          <cell r="T167" t="str">
            <v>Hyderabad</v>
          </cell>
          <cell r="U167" t="str">
            <v xml:space="preserve">Telangana </v>
          </cell>
          <cell r="V167" t="str">
            <v>40771434691</v>
          </cell>
          <cell r="W167" t="str">
            <v>STATE BANK OF INDIA</v>
          </cell>
          <cell r="X167" t="str">
            <v>120533</v>
          </cell>
          <cell r="Y167" t="str">
            <v>IFNPK6164P</v>
          </cell>
          <cell r="Z167" t="str">
            <v>48933</v>
          </cell>
          <cell r="AA167">
            <v>48933</v>
          </cell>
          <cell r="AB167">
            <v>0</v>
          </cell>
          <cell r="AC167">
            <v>19573</v>
          </cell>
          <cell r="AD167">
            <v>19573</v>
          </cell>
          <cell r="AE167">
            <v>0</v>
          </cell>
          <cell r="AF167">
            <v>5383</v>
          </cell>
          <cell r="AG167">
            <v>5383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10000</v>
          </cell>
          <cell r="AM167">
            <v>10000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36644</v>
          </cell>
          <cell r="AS167">
            <v>36644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 t="str">
            <v>0</v>
          </cell>
          <cell r="BF167">
            <v>0</v>
          </cell>
          <cell r="BG167">
            <v>0</v>
          </cell>
          <cell r="BH167">
            <v>120533</v>
          </cell>
          <cell r="BI167">
            <v>120533</v>
          </cell>
          <cell r="BJ167">
            <v>0</v>
          </cell>
          <cell r="BK167">
            <v>0</v>
          </cell>
          <cell r="BL167">
            <v>0</v>
          </cell>
          <cell r="BM167">
            <v>200</v>
          </cell>
          <cell r="BN167">
            <v>0</v>
          </cell>
          <cell r="BO167">
            <v>0</v>
          </cell>
          <cell r="BP167">
            <v>1800</v>
          </cell>
          <cell r="BQ167">
            <v>0</v>
          </cell>
          <cell r="BR167">
            <v>1800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 t="str">
            <v>0</v>
          </cell>
          <cell r="BZ167" t="str">
            <v>0</v>
          </cell>
          <cell r="CA167" t="str">
            <v>0</v>
          </cell>
          <cell r="CB167" t="str">
            <v>0</v>
          </cell>
          <cell r="CC167" t="str">
            <v>0</v>
          </cell>
          <cell r="CD167" t="str">
            <v>0</v>
          </cell>
          <cell r="CE167" t="str">
            <v>0</v>
          </cell>
          <cell r="CF167" t="str">
            <v>0</v>
          </cell>
          <cell r="CG167" t="str">
            <v>0</v>
          </cell>
          <cell r="CH167" t="str">
            <v>0</v>
          </cell>
          <cell r="CI167" t="str">
            <v>0</v>
          </cell>
          <cell r="CJ167" t="str">
            <v>0</v>
          </cell>
          <cell r="CK167" t="str">
            <v>0</v>
          </cell>
          <cell r="CL167" t="str">
            <v>0</v>
          </cell>
          <cell r="CM167" t="str">
            <v>0</v>
          </cell>
          <cell r="CN167" t="str">
            <v>0</v>
          </cell>
          <cell r="CO167" t="str">
            <v>0</v>
          </cell>
          <cell r="CP167" t="str">
            <v>0</v>
          </cell>
          <cell r="CQ167" t="str">
            <v>0</v>
          </cell>
          <cell r="CR167" t="str">
            <v>0</v>
          </cell>
          <cell r="CS167" t="str">
            <v>0</v>
          </cell>
          <cell r="CT167" t="str">
            <v>0</v>
          </cell>
          <cell r="CU167" t="str">
            <v>0</v>
          </cell>
          <cell r="CV167" t="str">
            <v>0</v>
          </cell>
          <cell r="CW167" t="str">
            <v>0</v>
          </cell>
          <cell r="CX167" t="str">
            <v>0</v>
          </cell>
          <cell r="CY167">
            <v>2000</v>
          </cell>
          <cell r="CZ167">
            <v>118533</v>
          </cell>
          <cell r="DA167">
            <v>0</v>
          </cell>
          <cell r="DB167">
            <v>0</v>
          </cell>
          <cell r="DC167">
            <v>118533</v>
          </cell>
        </row>
        <row r="168">
          <cell r="A168" t="str">
            <v>FS573</v>
          </cell>
          <cell r="B168" t="str">
            <v>Vikas Gunvant Jadhawar</v>
          </cell>
          <cell r="C168" t="str">
            <v>Quality Engineering</v>
          </cell>
          <cell r="D168" t="str">
            <v>28-08-2025</v>
          </cell>
          <cell r="E168" t="str">
            <v>N.A</v>
          </cell>
          <cell r="F168" t="str">
            <v>2025-10</v>
          </cell>
          <cell r="G168" t="str">
            <v>Success</v>
          </cell>
          <cell r="H168" t="str">
            <v>N.A</v>
          </cell>
          <cell r="I168" t="str">
            <v/>
          </cell>
          <cell r="J168" t="str">
            <v>30</v>
          </cell>
          <cell r="K168" t="str">
            <v>0</v>
          </cell>
          <cell r="L168" t="str">
            <v>0</v>
          </cell>
          <cell r="M168" t="str">
            <v>N.A</v>
          </cell>
          <cell r="N168" t="str">
            <v>0</v>
          </cell>
          <cell r="O168" t="str">
            <v>0</v>
          </cell>
          <cell r="P168" t="str">
            <v>30</v>
          </cell>
          <cell r="Q168" t="str">
            <v>30</v>
          </cell>
          <cell r="R168" t="str">
            <v>Senior Software Engineer</v>
          </cell>
          <cell r="S168" t="str">
            <v>Delivery-IN</v>
          </cell>
          <cell r="T168" t="str">
            <v>Hyderabad</v>
          </cell>
          <cell r="U168" t="str">
            <v xml:space="preserve">Telangana </v>
          </cell>
          <cell r="V168" t="str">
            <v>20202833398</v>
          </cell>
          <cell r="W168" t="str">
            <v>STATE BANK OF INDIA</v>
          </cell>
          <cell r="X168" t="str">
            <v>190667</v>
          </cell>
          <cell r="Y168" t="str">
            <v>AZTPJ1395B</v>
          </cell>
          <cell r="Z168" t="str">
            <v>76987</v>
          </cell>
          <cell r="AA168">
            <v>76987</v>
          </cell>
          <cell r="AB168">
            <v>0</v>
          </cell>
          <cell r="AC168">
            <v>30795</v>
          </cell>
          <cell r="AD168">
            <v>30795</v>
          </cell>
          <cell r="AE168">
            <v>0</v>
          </cell>
          <cell r="AF168">
            <v>8469</v>
          </cell>
          <cell r="AG168">
            <v>8469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10000</v>
          </cell>
          <cell r="AM168">
            <v>10000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64416</v>
          </cell>
          <cell r="AS168">
            <v>64416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 t="str">
            <v>0</v>
          </cell>
          <cell r="BF168">
            <v>0</v>
          </cell>
          <cell r="BG168">
            <v>0</v>
          </cell>
          <cell r="BH168">
            <v>190667</v>
          </cell>
          <cell r="BI168">
            <v>190667</v>
          </cell>
          <cell r="BJ168">
            <v>0</v>
          </cell>
          <cell r="BK168">
            <v>0</v>
          </cell>
          <cell r="BL168">
            <v>7113</v>
          </cell>
          <cell r="BM168">
            <v>200</v>
          </cell>
          <cell r="BN168">
            <v>0</v>
          </cell>
          <cell r="BO168">
            <v>0</v>
          </cell>
          <cell r="BP168">
            <v>1800</v>
          </cell>
          <cell r="BQ168">
            <v>0</v>
          </cell>
          <cell r="BR168">
            <v>1800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 t="str">
            <v>0</v>
          </cell>
          <cell r="BZ168" t="str">
            <v>0</v>
          </cell>
          <cell r="CA168" t="str">
            <v>0</v>
          </cell>
          <cell r="CB168" t="str">
            <v>0</v>
          </cell>
          <cell r="CC168" t="str">
            <v>0</v>
          </cell>
          <cell r="CD168" t="str">
            <v>0</v>
          </cell>
          <cell r="CE168" t="str">
            <v>0</v>
          </cell>
          <cell r="CF168" t="str">
            <v>0</v>
          </cell>
          <cell r="CG168" t="str">
            <v>0</v>
          </cell>
          <cell r="CH168" t="str">
            <v>0</v>
          </cell>
          <cell r="CI168" t="str">
            <v>0</v>
          </cell>
          <cell r="CJ168" t="str">
            <v>0</v>
          </cell>
          <cell r="CK168" t="str">
            <v>0</v>
          </cell>
          <cell r="CL168" t="str">
            <v>0</v>
          </cell>
          <cell r="CM168" t="str">
            <v>0</v>
          </cell>
          <cell r="CN168" t="str">
            <v>0</v>
          </cell>
          <cell r="CO168" t="str">
            <v>0</v>
          </cell>
          <cell r="CP168" t="str">
            <v>0</v>
          </cell>
          <cell r="CQ168" t="str">
            <v>0</v>
          </cell>
          <cell r="CR168" t="str">
            <v>0</v>
          </cell>
          <cell r="CS168" t="str">
            <v>0</v>
          </cell>
          <cell r="CT168" t="str">
            <v>0</v>
          </cell>
          <cell r="CU168" t="str">
            <v>0</v>
          </cell>
          <cell r="CV168" t="str">
            <v>0</v>
          </cell>
          <cell r="CW168" t="str">
            <v>0</v>
          </cell>
          <cell r="CX168" t="str">
            <v>0</v>
          </cell>
          <cell r="CY168">
            <v>9113</v>
          </cell>
          <cell r="CZ168">
            <v>181554</v>
          </cell>
          <cell r="DA168">
            <v>0</v>
          </cell>
          <cell r="DB168">
            <v>0</v>
          </cell>
          <cell r="DC168">
            <v>181554</v>
          </cell>
        </row>
        <row r="169">
          <cell r="A169" t="str">
            <v>FS574</v>
          </cell>
          <cell r="B169" t="str">
            <v>Hemantha Sai Sekhar Tummalapalli</v>
          </cell>
          <cell r="C169" t="str">
            <v>Quality Engineering</v>
          </cell>
          <cell r="D169" t="str">
            <v>01-09-2025</v>
          </cell>
          <cell r="E169" t="str">
            <v>N.A</v>
          </cell>
          <cell r="F169" t="str">
            <v>2025-10</v>
          </cell>
          <cell r="G169" t="str">
            <v>Success</v>
          </cell>
          <cell r="H169" t="str">
            <v>N.A</v>
          </cell>
          <cell r="I169" t="str">
            <v/>
          </cell>
          <cell r="J169" t="str">
            <v>30</v>
          </cell>
          <cell r="K169" t="str">
            <v>0</v>
          </cell>
          <cell r="L169" t="str">
            <v>0</v>
          </cell>
          <cell r="M169" t="str">
            <v>N.A</v>
          </cell>
          <cell r="N169" t="str">
            <v>0</v>
          </cell>
          <cell r="O169" t="str">
            <v>0</v>
          </cell>
          <cell r="P169" t="str">
            <v>30</v>
          </cell>
          <cell r="Q169" t="str">
            <v>30</v>
          </cell>
          <cell r="R169" t="str">
            <v>Senior Software Engineer</v>
          </cell>
          <cell r="S169" t="str">
            <v>Delivery-IN</v>
          </cell>
          <cell r="T169" t="str">
            <v>Hyderabad</v>
          </cell>
          <cell r="U169" t="str">
            <v xml:space="preserve">Telangana </v>
          </cell>
          <cell r="V169" t="str">
            <v>50100832231368</v>
          </cell>
          <cell r="W169" t="str">
            <v>HDFC BANK</v>
          </cell>
          <cell r="X169" t="str">
            <v>227254</v>
          </cell>
          <cell r="Y169" t="str">
            <v>AQMPT9223C</v>
          </cell>
          <cell r="Z169" t="str">
            <v>83222</v>
          </cell>
          <cell r="AA169">
            <v>83222</v>
          </cell>
          <cell r="AB169">
            <v>0</v>
          </cell>
          <cell r="AC169">
            <v>33289</v>
          </cell>
          <cell r="AD169">
            <v>33289</v>
          </cell>
          <cell r="AE169">
            <v>0</v>
          </cell>
          <cell r="AF169">
            <v>9154</v>
          </cell>
          <cell r="AG169">
            <v>9154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10000</v>
          </cell>
          <cell r="AM169">
            <v>10000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70589</v>
          </cell>
          <cell r="AS169">
            <v>70589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21000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 t="str">
            <v>0</v>
          </cell>
          <cell r="BF169">
            <v>0</v>
          </cell>
          <cell r="BG169">
            <v>21000</v>
          </cell>
          <cell r="BH169">
            <v>227254</v>
          </cell>
          <cell r="BI169">
            <v>227254</v>
          </cell>
          <cell r="BJ169">
            <v>0</v>
          </cell>
          <cell r="BK169">
            <v>0</v>
          </cell>
          <cell r="BL169">
            <v>12712</v>
          </cell>
          <cell r="BM169">
            <v>200</v>
          </cell>
          <cell r="BN169">
            <v>0</v>
          </cell>
          <cell r="BO169">
            <v>0</v>
          </cell>
          <cell r="BP169">
            <v>1800</v>
          </cell>
          <cell r="BQ169">
            <v>0</v>
          </cell>
          <cell r="BR169">
            <v>1800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 t="str">
            <v>0</v>
          </cell>
          <cell r="BZ169" t="str">
            <v>0</v>
          </cell>
          <cell r="CA169" t="str">
            <v>0</v>
          </cell>
          <cell r="CB169" t="str">
            <v>0</v>
          </cell>
          <cell r="CC169" t="str">
            <v>0</v>
          </cell>
          <cell r="CD169" t="str">
            <v>0</v>
          </cell>
          <cell r="CE169" t="str">
            <v>0</v>
          </cell>
          <cell r="CF169" t="str">
            <v>0</v>
          </cell>
          <cell r="CG169" t="str">
            <v>0</v>
          </cell>
          <cell r="CH169" t="str">
            <v>0</v>
          </cell>
          <cell r="CI169" t="str">
            <v>0</v>
          </cell>
          <cell r="CJ169" t="str">
            <v>0</v>
          </cell>
          <cell r="CK169" t="str">
            <v>0</v>
          </cell>
          <cell r="CL169" t="str">
            <v>0</v>
          </cell>
          <cell r="CM169" t="str">
            <v>0</v>
          </cell>
          <cell r="CN169" t="str">
            <v>0</v>
          </cell>
          <cell r="CO169" t="str">
            <v>0</v>
          </cell>
          <cell r="CP169" t="str">
            <v>0</v>
          </cell>
          <cell r="CQ169" t="str">
            <v>0</v>
          </cell>
          <cell r="CR169" t="str">
            <v>0</v>
          </cell>
          <cell r="CS169" t="str">
            <v>0</v>
          </cell>
          <cell r="CT169" t="str">
            <v>0</v>
          </cell>
          <cell r="CU169" t="str">
            <v>0</v>
          </cell>
          <cell r="CV169" t="str">
            <v>0</v>
          </cell>
          <cell r="CW169" t="str">
            <v>0</v>
          </cell>
          <cell r="CX169" t="str">
            <v>0</v>
          </cell>
          <cell r="CY169">
            <v>14712</v>
          </cell>
          <cell r="CZ169">
            <v>212542</v>
          </cell>
          <cell r="DA169">
            <v>0</v>
          </cell>
          <cell r="DB169">
            <v>0</v>
          </cell>
          <cell r="DC169">
            <v>212542</v>
          </cell>
        </row>
        <row r="170">
          <cell r="A170" t="str">
            <v>FS575</v>
          </cell>
          <cell r="B170" t="str">
            <v>Ponnaboina Kiran Kumar</v>
          </cell>
          <cell r="C170" t="str">
            <v>Quality Engineering</v>
          </cell>
          <cell r="D170" t="str">
            <v>08-09-2025</v>
          </cell>
          <cell r="E170" t="str">
            <v>N.A</v>
          </cell>
          <cell r="F170" t="str">
            <v>2025-10</v>
          </cell>
          <cell r="G170" t="str">
            <v>Success</v>
          </cell>
          <cell r="H170" t="str">
            <v>N.A</v>
          </cell>
          <cell r="I170" t="str">
            <v/>
          </cell>
          <cell r="J170" t="str">
            <v>30</v>
          </cell>
          <cell r="K170" t="str">
            <v>0</v>
          </cell>
          <cell r="L170" t="str">
            <v>0</v>
          </cell>
          <cell r="M170" t="str">
            <v>N.A</v>
          </cell>
          <cell r="N170" t="str">
            <v>0</v>
          </cell>
          <cell r="O170" t="str">
            <v>0</v>
          </cell>
          <cell r="P170" t="str">
            <v>30</v>
          </cell>
          <cell r="Q170" t="str">
            <v>30</v>
          </cell>
          <cell r="R170" t="str">
            <v>Associate software engineer</v>
          </cell>
          <cell r="S170" t="str">
            <v>Product Engineering</v>
          </cell>
          <cell r="T170" t="str">
            <v>Hyderabad</v>
          </cell>
          <cell r="U170" t="str">
            <v xml:space="preserve">Telangana </v>
          </cell>
          <cell r="V170" t="str">
            <v>50100834034694</v>
          </cell>
          <cell r="W170" t="str">
            <v>HDFC BANK</v>
          </cell>
          <cell r="X170" t="str">
            <v>24320</v>
          </cell>
          <cell r="Y170" t="str">
            <v>NDVPK5225C</v>
          </cell>
          <cell r="Z170" t="str">
            <v>10448</v>
          </cell>
          <cell r="AA170">
            <v>10448</v>
          </cell>
          <cell r="AB170">
            <v>0</v>
          </cell>
          <cell r="AC170">
            <v>4179</v>
          </cell>
          <cell r="AD170">
            <v>4179</v>
          </cell>
          <cell r="AE170">
            <v>0</v>
          </cell>
          <cell r="AF170">
            <v>1149</v>
          </cell>
          <cell r="AG170">
            <v>1149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2612</v>
          </cell>
          <cell r="AM170">
            <v>2612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5932</v>
          </cell>
          <cell r="AS170">
            <v>5932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 t="str">
            <v>0</v>
          </cell>
          <cell r="BF170">
            <v>0</v>
          </cell>
          <cell r="BG170">
            <v>0</v>
          </cell>
          <cell r="BH170">
            <v>24320</v>
          </cell>
          <cell r="BI170">
            <v>24320</v>
          </cell>
          <cell r="BJ170">
            <v>0</v>
          </cell>
          <cell r="BK170">
            <v>0</v>
          </cell>
          <cell r="BL170">
            <v>0</v>
          </cell>
          <cell r="BM170">
            <v>200</v>
          </cell>
          <cell r="BN170">
            <v>0</v>
          </cell>
          <cell r="BO170">
            <v>0</v>
          </cell>
          <cell r="BP170">
            <v>1800</v>
          </cell>
          <cell r="BQ170">
            <v>0</v>
          </cell>
          <cell r="BR170">
            <v>1800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 t="str">
            <v>0</v>
          </cell>
          <cell r="BZ170" t="str">
            <v>0</v>
          </cell>
          <cell r="CA170" t="str">
            <v>0</v>
          </cell>
          <cell r="CB170" t="str">
            <v>0</v>
          </cell>
          <cell r="CC170" t="str">
            <v>0</v>
          </cell>
          <cell r="CD170" t="str">
            <v>0</v>
          </cell>
          <cell r="CE170" t="str">
            <v>0</v>
          </cell>
          <cell r="CF170" t="str">
            <v>0</v>
          </cell>
          <cell r="CG170" t="str">
            <v>0</v>
          </cell>
          <cell r="CH170" t="str">
            <v>0</v>
          </cell>
          <cell r="CI170" t="str">
            <v>0</v>
          </cell>
          <cell r="CJ170" t="str">
            <v>0</v>
          </cell>
          <cell r="CK170" t="str">
            <v>0</v>
          </cell>
          <cell r="CL170" t="str">
            <v>0</v>
          </cell>
          <cell r="CM170" t="str">
            <v>0</v>
          </cell>
          <cell r="CN170" t="str">
            <v>0</v>
          </cell>
          <cell r="CO170" t="str">
            <v>0</v>
          </cell>
          <cell r="CP170" t="str">
            <v>0</v>
          </cell>
          <cell r="CQ170" t="str">
            <v>0</v>
          </cell>
          <cell r="CR170" t="str">
            <v>0</v>
          </cell>
          <cell r="CS170" t="str">
            <v>0</v>
          </cell>
          <cell r="CT170" t="str">
            <v>0</v>
          </cell>
          <cell r="CU170" t="str">
            <v>0</v>
          </cell>
          <cell r="CV170" t="str">
            <v>0</v>
          </cell>
          <cell r="CW170" t="str">
            <v>0</v>
          </cell>
          <cell r="CX170" t="str">
            <v>0</v>
          </cell>
          <cell r="CY170">
            <v>2000</v>
          </cell>
          <cell r="CZ170">
            <v>22320</v>
          </cell>
          <cell r="DA170">
            <v>0</v>
          </cell>
          <cell r="DB170">
            <v>0</v>
          </cell>
          <cell r="DC170">
            <v>22320</v>
          </cell>
        </row>
        <row r="171">
          <cell r="A171" t="str">
            <v>FS576</v>
          </cell>
          <cell r="B171" t="str">
            <v>Sheik Sadik</v>
          </cell>
          <cell r="C171" t="str">
            <v>Product Engineering</v>
          </cell>
          <cell r="D171" t="str">
            <v>10-09-2025</v>
          </cell>
          <cell r="E171" t="str">
            <v>N.A</v>
          </cell>
          <cell r="F171" t="str">
            <v>2025-10</v>
          </cell>
          <cell r="G171" t="str">
            <v>Success</v>
          </cell>
          <cell r="H171" t="str">
            <v>N.A</v>
          </cell>
          <cell r="I171" t="str">
            <v/>
          </cell>
          <cell r="J171" t="str">
            <v>30</v>
          </cell>
          <cell r="K171" t="str">
            <v>0</v>
          </cell>
          <cell r="L171" t="str">
            <v>0</v>
          </cell>
          <cell r="M171" t="str">
            <v>N.A</v>
          </cell>
          <cell r="N171" t="str">
            <v>0</v>
          </cell>
          <cell r="O171" t="str">
            <v>0</v>
          </cell>
          <cell r="P171" t="str">
            <v>30</v>
          </cell>
          <cell r="Q171" t="str">
            <v>30</v>
          </cell>
          <cell r="R171" t="str">
            <v>Lead Software Engineer</v>
          </cell>
          <cell r="S171" t="str">
            <v>Product Engineering</v>
          </cell>
          <cell r="T171" t="str">
            <v>Hyderabad</v>
          </cell>
          <cell r="U171" t="str">
            <v xml:space="preserve">Telangana </v>
          </cell>
          <cell r="V171" t="str">
            <v>20243520671</v>
          </cell>
          <cell r="W171" t="str">
            <v>STATE BANK OF INDIA</v>
          </cell>
          <cell r="X171" t="str">
            <v>277667</v>
          </cell>
          <cell r="Y171" t="str">
            <v>GCSPS7356P</v>
          </cell>
          <cell r="Z171" t="str">
            <v>116667</v>
          </cell>
          <cell r="AA171">
            <v>116667</v>
          </cell>
          <cell r="AB171">
            <v>0</v>
          </cell>
          <cell r="AC171">
            <v>46667</v>
          </cell>
          <cell r="AD171">
            <v>46667</v>
          </cell>
          <cell r="AE171">
            <v>0</v>
          </cell>
          <cell r="AF171">
            <v>12833</v>
          </cell>
          <cell r="AG171">
            <v>12833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10000</v>
          </cell>
          <cell r="AM171">
            <v>10000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91500</v>
          </cell>
          <cell r="AS171">
            <v>91500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 t="str">
            <v>0</v>
          </cell>
          <cell r="BF171">
            <v>0</v>
          </cell>
          <cell r="BG171">
            <v>0</v>
          </cell>
          <cell r="BH171">
            <v>277667</v>
          </cell>
          <cell r="BI171">
            <v>277667</v>
          </cell>
          <cell r="BJ171">
            <v>0</v>
          </cell>
          <cell r="BK171">
            <v>0</v>
          </cell>
          <cell r="BL171">
            <v>23579</v>
          </cell>
          <cell r="BM171">
            <v>200</v>
          </cell>
          <cell r="BN171">
            <v>0</v>
          </cell>
          <cell r="BO171">
            <v>0</v>
          </cell>
          <cell r="BP171">
            <v>14000</v>
          </cell>
          <cell r="BQ171">
            <v>0</v>
          </cell>
          <cell r="BR171">
            <v>14000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 t="str">
            <v>0</v>
          </cell>
          <cell r="BZ171" t="str">
            <v>0</v>
          </cell>
          <cell r="CA171" t="str">
            <v>0</v>
          </cell>
          <cell r="CB171" t="str">
            <v>0</v>
          </cell>
          <cell r="CC171" t="str">
            <v>0</v>
          </cell>
          <cell r="CD171" t="str">
            <v>0</v>
          </cell>
          <cell r="CE171" t="str">
            <v>0</v>
          </cell>
          <cell r="CF171" t="str">
            <v>0</v>
          </cell>
          <cell r="CG171" t="str">
            <v>0</v>
          </cell>
          <cell r="CH171" t="str">
            <v>0</v>
          </cell>
          <cell r="CI171" t="str">
            <v>0</v>
          </cell>
          <cell r="CJ171" t="str">
            <v>0</v>
          </cell>
          <cell r="CK171" t="str">
            <v>0</v>
          </cell>
          <cell r="CL171" t="str">
            <v>0</v>
          </cell>
          <cell r="CM171" t="str">
            <v>0</v>
          </cell>
          <cell r="CN171" t="str">
            <v>0</v>
          </cell>
          <cell r="CO171" t="str">
            <v>0</v>
          </cell>
          <cell r="CP171" t="str">
            <v>0</v>
          </cell>
          <cell r="CQ171" t="str">
            <v>0</v>
          </cell>
          <cell r="CR171" t="str">
            <v>0</v>
          </cell>
          <cell r="CS171" t="str">
            <v>0</v>
          </cell>
          <cell r="CT171" t="str">
            <v>0</v>
          </cell>
          <cell r="CU171" t="str">
            <v>0</v>
          </cell>
          <cell r="CV171" t="str">
            <v>0</v>
          </cell>
          <cell r="CW171" t="str">
            <v>0</v>
          </cell>
          <cell r="CX171" t="str">
            <v>0</v>
          </cell>
          <cell r="CY171">
            <v>37779</v>
          </cell>
          <cell r="CZ171">
            <v>239888</v>
          </cell>
          <cell r="DA171">
            <v>0</v>
          </cell>
          <cell r="DB171">
            <v>0</v>
          </cell>
          <cell r="DC171">
            <v>239888</v>
          </cell>
        </row>
        <row r="172">
          <cell r="A172" t="str">
            <v>FS577</v>
          </cell>
          <cell r="B172" t="str">
            <v>Ulli Anil Kumar Naidu</v>
          </cell>
          <cell r="C172" t="str">
            <v>Quality Engineering</v>
          </cell>
          <cell r="D172" t="str">
            <v>12-09-2025</v>
          </cell>
          <cell r="E172" t="str">
            <v>N.A</v>
          </cell>
          <cell r="F172" t="str">
            <v>2025-10</v>
          </cell>
          <cell r="G172" t="str">
            <v>Success</v>
          </cell>
          <cell r="H172" t="str">
            <v>N.A</v>
          </cell>
          <cell r="I172" t="str">
            <v/>
          </cell>
          <cell r="J172" t="str">
            <v>30</v>
          </cell>
          <cell r="K172" t="str">
            <v>0</v>
          </cell>
          <cell r="L172" t="str">
            <v>0</v>
          </cell>
          <cell r="M172" t="str">
            <v>N.A</v>
          </cell>
          <cell r="N172" t="str">
            <v>0</v>
          </cell>
          <cell r="O172" t="str">
            <v>0</v>
          </cell>
          <cell r="P172" t="str">
            <v>30</v>
          </cell>
          <cell r="Q172" t="str">
            <v>30</v>
          </cell>
          <cell r="R172" t="str">
            <v>Senior Software Engineer</v>
          </cell>
          <cell r="S172" t="str">
            <v>Delivery-IN</v>
          </cell>
          <cell r="T172" t="str">
            <v>Hyderabad</v>
          </cell>
          <cell r="U172" t="str">
            <v xml:space="preserve">Telangana </v>
          </cell>
          <cell r="V172" t="str">
            <v>50100460280817</v>
          </cell>
          <cell r="W172" t="str">
            <v>HDFC BANK</v>
          </cell>
          <cell r="X172" t="str">
            <v>160700</v>
          </cell>
          <cell r="Y172" t="str">
            <v>ACEPU2314H</v>
          </cell>
          <cell r="Z172" t="str">
            <v>65000</v>
          </cell>
          <cell r="AA172">
            <v>65000</v>
          </cell>
          <cell r="AB172">
            <v>0</v>
          </cell>
          <cell r="AC172">
            <v>26000</v>
          </cell>
          <cell r="AD172">
            <v>26000</v>
          </cell>
          <cell r="AE172">
            <v>0</v>
          </cell>
          <cell r="AF172">
            <v>7150</v>
          </cell>
          <cell r="AG172">
            <v>7150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10000</v>
          </cell>
          <cell r="AM172">
            <v>10000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52550</v>
          </cell>
          <cell r="AS172">
            <v>52550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 t="str">
            <v>0</v>
          </cell>
          <cell r="BF172">
            <v>0</v>
          </cell>
          <cell r="BG172">
            <v>0</v>
          </cell>
          <cell r="BH172">
            <v>160700</v>
          </cell>
          <cell r="BI172">
            <v>160700</v>
          </cell>
          <cell r="BJ172">
            <v>0</v>
          </cell>
          <cell r="BK172">
            <v>0</v>
          </cell>
          <cell r="BL172">
            <v>0</v>
          </cell>
          <cell r="BM172">
            <v>200</v>
          </cell>
          <cell r="BN172">
            <v>0</v>
          </cell>
          <cell r="BO172">
            <v>0</v>
          </cell>
          <cell r="BP172">
            <v>1800</v>
          </cell>
          <cell r="BQ172">
            <v>0</v>
          </cell>
          <cell r="BR172">
            <v>1800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 t="str">
            <v>0</v>
          </cell>
          <cell r="BZ172" t="str">
            <v>0</v>
          </cell>
          <cell r="CA172" t="str">
            <v>0</v>
          </cell>
          <cell r="CB172" t="str">
            <v>0</v>
          </cell>
          <cell r="CC172" t="str">
            <v>0</v>
          </cell>
          <cell r="CD172" t="str">
            <v>0</v>
          </cell>
          <cell r="CE172" t="str">
            <v>0</v>
          </cell>
          <cell r="CF172" t="str">
            <v>0</v>
          </cell>
          <cell r="CG172" t="str">
            <v>0</v>
          </cell>
          <cell r="CH172" t="str">
            <v>0</v>
          </cell>
          <cell r="CI172" t="str">
            <v>0</v>
          </cell>
          <cell r="CJ172" t="str">
            <v>0</v>
          </cell>
          <cell r="CK172" t="str">
            <v>0</v>
          </cell>
          <cell r="CL172" t="str">
            <v>0</v>
          </cell>
          <cell r="CM172" t="str">
            <v>0</v>
          </cell>
          <cell r="CN172" t="str">
            <v>0</v>
          </cell>
          <cell r="CO172" t="str">
            <v>0</v>
          </cell>
          <cell r="CP172" t="str">
            <v>0</v>
          </cell>
          <cell r="CQ172" t="str">
            <v>0</v>
          </cell>
          <cell r="CR172" t="str">
            <v>0</v>
          </cell>
          <cell r="CS172" t="str">
            <v>0</v>
          </cell>
          <cell r="CT172" t="str">
            <v>0</v>
          </cell>
          <cell r="CU172" t="str">
            <v>0</v>
          </cell>
          <cell r="CV172" t="str">
            <v>0</v>
          </cell>
          <cell r="CW172" t="str">
            <v>0</v>
          </cell>
          <cell r="CX172" t="str">
            <v>0</v>
          </cell>
          <cell r="CY172">
            <v>2000</v>
          </cell>
          <cell r="CZ172">
            <v>158700</v>
          </cell>
          <cell r="DA172">
            <v>0</v>
          </cell>
          <cell r="DB172">
            <v>0</v>
          </cell>
          <cell r="DC172">
            <v>158700</v>
          </cell>
        </row>
        <row r="173">
          <cell r="A173" t="str">
            <v>FS578</v>
          </cell>
          <cell r="B173" t="str">
            <v>Vala Divya</v>
          </cell>
          <cell r="C173" t="str">
            <v>Quality Engineering</v>
          </cell>
          <cell r="D173" t="str">
            <v>17-09-2025</v>
          </cell>
          <cell r="E173" t="str">
            <v>N.A</v>
          </cell>
          <cell r="F173" t="str">
            <v>2025-10</v>
          </cell>
          <cell r="G173" t="str">
            <v>Success</v>
          </cell>
          <cell r="H173" t="str">
            <v>N.A</v>
          </cell>
          <cell r="I173" t="str">
            <v/>
          </cell>
          <cell r="J173" t="str">
            <v>30</v>
          </cell>
          <cell r="K173" t="str">
            <v>0</v>
          </cell>
          <cell r="L173" t="str">
            <v>0</v>
          </cell>
          <cell r="M173" t="str">
            <v>N.A</v>
          </cell>
          <cell r="N173" t="str">
            <v>0</v>
          </cell>
          <cell r="O173" t="str">
            <v>0</v>
          </cell>
          <cell r="P173" t="str">
            <v>30</v>
          </cell>
          <cell r="Q173" t="str">
            <v>30</v>
          </cell>
          <cell r="R173" t="str">
            <v>Lead QA Engineer</v>
          </cell>
          <cell r="S173" t="str">
            <v>Delivery-IN</v>
          </cell>
          <cell r="T173" t="str">
            <v>Hyderabad</v>
          </cell>
          <cell r="U173" t="str">
            <v xml:space="preserve">Telangana </v>
          </cell>
          <cell r="V173" t="str">
            <v>50100021611622</v>
          </cell>
          <cell r="W173" t="str">
            <v>HDFC BANK</v>
          </cell>
          <cell r="X173" t="str">
            <v>222783</v>
          </cell>
          <cell r="Y173" t="str">
            <v>ATNPV7029C</v>
          </cell>
          <cell r="Z173" t="str">
            <v>89833</v>
          </cell>
          <cell r="AA173">
            <v>89833</v>
          </cell>
          <cell r="AB173">
            <v>0</v>
          </cell>
          <cell r="AC173">
            <v>35933</v>
          </cell>
          <cell r="AD173">
            <v>35933</v>
          </cell>
          <cell r="AE173">
            <v>0</v>
          </cell>
          <cell r="AF173">
            <v>9882</v>
          </cell>
          <cell r="AG173">
            <v>9882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10000</v>
          </cell>
          <cell r="AM173">
            <v>10000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77135</v>
          </cell>
          <cell r="AS173">
            <v>77135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 t="str">
            <v>0</v>
          </cell>
          <cell r="BF173">
            <v>0</v>
          </cell>
          <cell r="BG173">
            <v>0</v>
          </cell>
          <cell r="BH173">
            <v>222783</v>
          </cell>
          <cell r="BI173">
            <v>222783</v>
          </cell>
          <cell r="BJ173">
            <v>0</v>
          </cell>
          <cell r="BK173">
            <v>0</v>
          </cell>
          <cell r="BL173">
            <v>13118</v>
          </cell>
          <cell r="BM173">
            <v>200</v>
          </cell>
          <cell r="BN173">
            <v>0</v>
          </cell>
          <cell r="BO173">
            <v>0</v>
          </cell>
          <cell r="BP173">
            <v>1800</v>
          </cell>
          <cell r="BQ173">
            <v>0</v>
          </cell>
          <cell r="BR173">
            <v>1800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 t="str">
            <v>0</v>
          </cell>
          <cell r="BZ173" t="str">
            <v>0</v>
          </cell>
          <cell r="CA173" t="str">
            <v>0</v>
          </cell>
          <cell r="CB173" t="str">
            <v>0</v>
          </cell>
          <cell r="CC173" t="str">
            <v>0</v>
          </cell>
          <cell r="CD173" t="str">
            <v>0</v>
          </cell>
          <cell r="CE173" t="str">
            <v>0</v>
          </cell>
          <cell r="CF173" t="str">
            <v>0</v>
          </cell>
          <cell r="CG173" t="str">
            <v>0</v>
          </cell>
          <cell r="CH173" t="str">
            <v>0</v>
          </cell>
          <cell r="CI173" t="str">
            <v>0</v>
          </cell>
          <cell r="CJ173" t="str">
            <v>0</v>
          </cell>
          <cell r="CK173" t="str">
            <v>0</v>
          </cell>
          <cell r="CL173" t="str">
            <v>0</v>
          </cell>
          <cell r="CM173" t="str">
            <v>0</v>
          </cell>
          <cell r="CN173" t="str">
            <v>0</v>
          </cell>
          <cell r="CO173" t="str">
            <v>0</v>
          </cell>
          <cell r="CP173" t="str">
            <v>0</v>
          </cell>
          <cell r="CQ173" t="str">
            <v>0</v>
          </cell>
          <cell r="CR173" t="str">
            <v>0</v>
          </cell>
          <cell r="CS173" t="str">
            <v>0</v>
          </cell>
          <cell r="CT173" t="str">
            <v>0</v>
          </cell>
          <cell r="CU173" t="str">
            <v>0</v>
          </cell>
          <cell r="CV173" t="str">
            <v>0</v>
          </cell>
          <cell r="CW173" t="str">
            <v>0</v>
          </cell>
          <cell r="CX173" t="str">
            <v>0</v>
          </cell>
          <cell r="CY173">
            <v>15118</v>
          </cell>
          <cell r="CZ173">
            <v>207665</v>
          </cell>
          <cell r="DA173">
            <v>49273</v>
          </cell>
          <cell r="DB173">
            <v>0</v>
          </cell>
          <cell r="DC173">
            <v>256938</v>
          </cell>
        </row>
        <row r="174">
          <cell r="A174" t="str">
            <v>FS579</v>
          </cell>
          <cell r="B174" t="str">
            <v>Musuku Sunhith Reddy</v>
          </cell>
          <cell r="C174" t="str">
            <v>Quality Engineering</v>
          </cell>
          <cell r="D174" t="str">
            <v>18-09-2025</v>
          </cell>
          <cell r="E174" t="str">
            <v>N.A</v>
          </cell>
          <cell r="F174" t="str">
            <v>2025-10</v>
          </cell>
          <cell r="G174" t="str">
            <v>Success</v>
          </cell>
          <cell r="H174" t="str">
            <v>N.A</v>
          </cell>
          <cell r="I174" t="str">
            <v/>
          </cell>
          <cell r="J174" t="str">
            <v>30</v>
          </cell>
          <cell r="K174" t="str">
            <v>0</v>
          </cell>
          <cell r="L174" t="str">
            <v>0</v>
          </cell>
          <cell r="M174" t="str">
            <v>N.A</v>
          </cell>
          <cell r="N174" t="str">
            <v>0</v>
          </cell>
          <cell r="O174" t="str">
            <v>0</v>
          </cell>
          <cell r="P174" t="str">
            <v>30</v>
          </cell>
          <cell r="Q174" t="str">
            <v>30</v>
          </cell>
          <cell r="R174" t="str">
            <v>Senior Software Engineer</v>
          </cell>
          <cell r="S174" t="str">
            <v>Delivery-IN</v>
          </cell>
          <cell r="T174" t="str">
            <v>Hyderabad</v>
          </cell>
          <cell r="U174" t="str">
            <v xml:space="preserve">Telangana </v>
          </cell>
          <cell r="V174" t="str">
            <v>230301500883</v>
          </cell>
          <cell r="W174" t="str">
            <v>ICICI BANK LIMITED</v>
          </cell>
          <cell r="X174" t="str">
            <v>223042</v>
          </cell>
          <cell r="Y174" t="str">
            <v>CLTPM8793C</v>
          </cell>
          <cell r="Z174" t="str">
            <v>78567</v>
          </cell>
          <cell r="AA174">
            <v>78567</v>
          </cell>
          <cell r="AB174">
            <v>0</v>
          </cell>
          <cell r="AC174">
            <v>31427</v>
          </cell>
          <cell r="AD174">
            <v>31427</v>
          </cell>
          <cell r="AE174">
            <v>0</v>
          </cell>
          <cell r="AF174">
            <v>8642</v>
          </cell>
          <cell r="AG174">
            <v>8642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10000</v>
          </cell>
          <cell r="AM174">
            <v>10000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58353</v>
          </cell>
          <cell r="AS174">
            <v>58353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9000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 t="str">
            <v>0</v>
          </cell>
          <cell r="BF174">
            <v>27053</v>
          </cell>
          <cell r="BG174">
            <v>36053</v>
          </cell>
          <cell r="BH174">
            <v>223042</v>
          </cell>
          <cell r="BI174">
            <v>195989</v>
          </cell>
          <cell r="BJ174">
            <v>0</v>
          </cell>
          <cell r="BK174">
            <v>0</v>
          </cell>
          <cell r="BL174">
            <v>0</v>
          </cell>
          <cell r="BM174">
            <v>200</v>
          </cell>
          <cell r="BN174">
            <v>0</v>
          </cell>
          <cell r="BO174">
            <v>0</v>
          </cell>
          <cell r="BP174">
            <v>9428</v>
          </cell>
          <cell r="BQ174">
            <v>0</v>
          </cell>
          <cell r="BR174">
            <v>9428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 t="str">
            <v>0</v>
          </cell>
          <cell r="BZ174" t="str">
            <v>0</v>
          </cell>
          <cell r="CA174" t="str">
            <v>0</v>
          </cell>
          <cell r="CB174" t="str">
            <v>0</v>
          </cell>
          <cell r="CC174" t="str">
            <v>0</v>
          </cell>
          <cell r="CD174" t="str">
            <v>0</v>
          </cell>
          <cell r="CE174" t="str">
            <v>0</v>
          </cell>
          <cell r="CF174" t="str">
            <v>0</v>
          </cell>
          <cell r="CG174" t="str">
            <v>0</v>
          </cell>
          <cell r="CH174" t="str">
            <v>0</v>
          </cell>
          <cell r="CI174" t="str">
            <v>0</v>
          </cell>
          <cell r="CJ174" t="str">
            <v>0</v>
          </cell>
          <cell r="CK174" t="str">
            <v>0</v>
          </cell>
          <cell r="CL174" t="str">
            <v>0</v>
          </cell>
          <cell r="CM174" t="str">
            <v>0</v>
          </cell>
          <cell r="CN174" t="str">
            <v>0</v>
          </cell>
          <cell r="CO174" t="str">
            <v>0</v>
          </cell>
          <cell r="CP174" t="str">
            <v>0</v>
          </cell>
          <cell r="CQ174" t="str">
            <v>0</v>
          </cell>
          <cell r="CR174" t="str">
            <v>0</v>
          </cell>
          <cell r="CS174" t="str">
            <v>0</v>
          </cell>
          <cell r="CT174" t="str">
            <v>0</v>
          </cell>
          <cell r="CU174" t="str">
            <v>0</v>
          </cell>
          <cell r="CV174" t="str">
            <v>0</v>
          </cell>
          <cell r="CW174" t="str">
            <v>0</v>
          </cell>
          <cell r="CX174" t="str">
            <v>0</v>
          </cell>
          <cell r="CY174">
            <v>9628</v>
          </cell>
          <cell r="CZ174">
            <v>213414</v>
          </cell>
          <cell r="DA174">
            <v>35622</v>
          </cell>
          <cell r="DB174">
            <v>0</v>
          </cell>
          <cell r="DC174">
            <v>249036</v>
          </cell>
        </row>
        <row r="175">
          <cell r="A175" t="str">
            <v>FS580</v>
          </cell>
          <cell r="B175" t="str">
            <v>Shubham Kumar</v>
          </cell>
          <cell r="C175" t="str">
            <v>Product Engeering</v>
          </cell>
          <cell r="D175" t="str">
            <v>29-09-2025</v>
          </cell>
          <cell r="E175" t="str">
            <v>N.A</v>
          </cell>
          <cell r="F175" t="str">
            <v>2025-10</v>
          </cell>
          <cell r="G175" t="str">
            <v>Success</v>
          </cell>
          <cell r="H175" t="str">
            <v>N.A</v>
          </cell>
          <cell r="I175" t="str">
            <v/>
          </cell>
          <cell r="J175" t="str">
            <v>30</v>
          </cell>
          <cell r="K175" t="str">
            <v>0</v>
          </cell>
          <cell r="L175" t="str">
            <v>0</v>
          </cell>
          <cell r="M175" t="str">
            <v>N.A</v>
          </cell>
          <cell r="N175" t="str">
            <v>0</v>
          </cell>
          <cell r="O175" t="str">
            <v>0</v>
          </cell>
          <cell r="P175" t="str">
            <v>27</v>
          </cell>
          <cell r="Q175" t="str">
            <v>27</v>
          </cell>
          <cell r="R175" t="str">
            <v>Senior Software Engineer I</v>
          </cell>
          <cell r="S175" t="str">
            <v>Delivery-IN</v>
          </cell>
          <cell r="T175" t="str">
            <v>Hyderabad</v>
          </cell>
          <cell r="U175" t="str">
            <v xml:space="preserve">Telangana </v>
          </cell>
          <cell r="V175" t="str">
            <v>50100319787943</v>
          </cell>
          <cell r="W175" t="str">
            <v>HDFC BANK</v>
          </cell>
          <cell r="X175" t="str">
            <v>167283</v>
          </cell>
          <cell r="Y175" t="str">
            <v>GPVPK1759E</v>
          </cell>
          <cell r="Z175" t="str">
            <v>67633</v>
          </cell>
          <cell r="AA175">
            <v>60870</v>
          </cell>
          <cell r="AB175">
            <v>0</v>
          </cell>
          <cell r="AC175">
            <v>27053</v>
          </cell>
          <cell r="AD175">
            <v>24348</v>
          </cell>
          <cell r="AE175">
            <v>0</v>
          </cell>
          <cell r="AF175">
            <v>7440</v>
          </cell>
          <cell r="AG175">
            <v>6696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10000</v>
          </cell>
          <cell r="AM175">
            <v>9000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55157</v>
          </cell>
          <cell r="AS175">
            <v>49641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 t="str">
            <v>0</v>
          </cell>
          <cell r="BF175">
            <v>0</v>
          </cell>
          <cell r="BG175">
            <v>0</v>
          </cell>
          <cell r="BH175">
            <v>150555</v>
          </cell>
          <cell r="BI175">
            <v>150555</v>
          </cell>
          <cell r="BJ175">
            <v>0</v>
          </cell>
          <cell r="BK175">
            <v>0</v>
          </cell>
          <cell r="BL175">
            <v>0</v>
          </cell>
          <cell r="BM175">
            <v>200</v>
          </cell>
          <cell r="BN175">
            <v>0</v>
          </cell>
          <cell r="BO175">
            <v>0</v>
          </cell>
          <cell r="BP175">
            <v>1800</v>
          </cell>
          <cell r="BQ175">
            <v>0</v>
          </cell>
          <cell r="BR175">
            <v>1800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 t="str">
            <v>0</v>
          </cell>
          <cell r="BZ175" t="str">
            <v>0</v>
          </cell>
          <cell r="CA175" t="str">
            <v>0</v>
          </cell>
          <cell r="CB175" t="str">
            <v>0</v>
          </cell>
          <cell r="CC175" t="str">
            <v>0</v>
          </cell>
          <cell r="CD175" t="str">
            <v>0</v>
          </cell>
          <cell r="CE175" t="str">
            <v>0</v>
          </cell>
          <cell r="CF175" t="str">
            <v>0</v>
          </cell>
          <cell r="CG175" t="str">
            <v>0</v>
          </cell>
          <cell r="CH175" t="str">
            <v>0</v>
          </cell>
          <cell r="CI175" t="str">
            <v>0</v>
          </cell>
          <cell r="CJ175" t="str">
            <v>0</v>
          </cell>
          <cell r="CK175" t="str">
            <v>0</v>
          </cell>
          <cell r="CL175" t="str">
            <v>0</v>
          </cell>
          <cell r="CM175" t="str">
            <v>0</v>
          </cell>
          <cell r="CN175" t="str">
            <v>0</v>
          </cell>
          <cell r="CO175" t="str">
            <v>0</v>
          </cell>
          <cell r="CP175" t="str">
            <v>0</v>
          </cell>
          <cell r="CQ175" t="str">
            <v>0</v>
          </cell>
          <cell r="CR175" t="str">
            <v>0</v>
          </cell>
          <cell r="CS175" t="str">
            <v>0</v>
          </cell>
          <cell r="CT175" t="str">
            <v>0</v>
          </cell>
          <cell r="CU175" t="str">
            <v>0</v>
          </cell>
          <cell r="CV175">
            <v>10000</v>
          </cell>
          <cell r="CW175" t="str">
            <v>10000</v>
          </cell>
          <cell r="CX175" t="str">
            <v>0</v>
          </cell>
          <cell r="CY175">
            <v>12000</v>
          </cell>
          <cell r="CZ175">
            <v>138555</v>
          </cell>
          <cell r="DA175">
            <v>0</v>
          </cell>
          <cell r="DB175">
            <v>0</v>
          </cell>
          <cell r="DC175">
            <v>138555</v>
          </cell>
        </row>
        <row r="176">
          <cell r="A176" t="str">
            <v>FS581</v>
          </cell>
          <cell r="B176" t="str">
            <v>Tadi Sharath</v>
          </cell>
          <cell r="C176" t="str">
            <v>Product Engeering</v>
          </cell>
          <cell r="D176" t="str">
            <v>29-09-2025</v>
          </cell>
          <cell r="E176" t="str">
            <v>N.A</v>
          </cell>
          <cell r="F176" t="str">
            <v>2025-10</v>
          </cell>
          <cell r="G176" t="str">
            <v>Success</v>
          </cell>
          <cell r="H176" t="str">
            <v>N.A</v>
          </cell>
          <cell r="I176" t="str">
            <v/>
          </cell>
          <cell r="J176" t="str">
            <v>30</v>
          </cell>
          <cell r="K176" t="str">
            <v>0</v>
          </cell>
          <cell r="L176" t="str">
            <v>0</v>
          </cell>
          <cell r="M176" t="str">
            <v>N.A</v>
          </cell>
          <cell r="N176" t="str">
            <v>0</v>
          </cell>
          <cell r="O176" t="str">
            <v>0</v>
          </cell>
          <cell r="P176" t="str">
            <v>27</v>
          </cell>
          <cell r="Q176" t="str">
            <v>27</v>
          </cell>
          <cell r="R176" t="str">
            <v>Senior Software Engineer</v>
          </cell>
          <cell r="S176" t="str">
            <v>Delivery-IN</v>
          </cell>
          <cell r="T176" t="str">
            <v>Hyderabad</v>
          </cell>
          <cell r="U176" t="str">
            <v xml:space="preserve">Telangana </v>
          </cell>
          <cell r="V176" t="str">
            <v>33139962966</v>
          </cell>
          <cell r="W176" t="str">
            <v>STATE BANK OF INDIA</v>
          </cell>
          <cell r="X176" t="str">
            <v>198333</v>
          </cell>
          <cell r="Y176" t="str">
            <v>AYQPT4555P</v>
          </cell>
          <cell r="Z176" t="str">
            <v>83333</v>
          </cell>
          <cell r="AA176">
            <v>75000</v>
          </cell>
          <cell r="AB176">
            <v>0</v>
          </cell>
          <cell r="AC176">
            <v>33333</v>
          </cell>
          <cell r="AD176">
            <v>30000</v>
          </cell>
          <cell r="AE176">
            <v>0</v>
          </cell>
          <cell r="AF176">
            <v>9167</v>
          </cell>
          <cell r="AG176">
            <v>8250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10000</v>
          </cell>
          <cell r="AM176">
            <v>9000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62500</v>
          </cell>
          <cell r="AS176">
            <v>56250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 t="str">
            <v>0</v>
          </cell>
          <cell r="BF176">
            <v>0</v>
          </cell>
          <cell r="BG176">
            <v>0</v>
          </cell>
          <cell r="BH176">
            <v>178500</v>
          </cell>
          <cell r="BI176">
            <v>178500</v>
          </cell>
          <cell r="BJ176">
            <v>0</v>
          </cell>
          <cell r="BK176">
            <v>0</v>
          </cell>
          <cell r="BL176">
            <v>0</v>
          </cell>
          <cell r="BM176">
            <v>200</v>
          </cell>
          <cell r="BN176">
            <v>0</v>
          </cell>
          <cell r="BO176">
            <v>0</v>
          </cell>
          <cell r="BP176">
            <v>9000</v>
          </cell>
          <cell r="BQ176">
            <v>0</v>
          </cell>
          <cell r="BR176">
            <v>9000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 t="str">
            <v>0</v>
          </cell>
          <cell r="BZ176" t="str">
            <v>0</v>
          </cell>
          <cell r="CA176" t="str">
            <v>0</v>
          </cell>
          <cell r="CB176" t="str">
            <v>0</v>
          </cell>
          <cell r="CC176" t="str">
            <v>0</v>
          </cell>
          <cell r="CD176" t="str">
            <v>0</v>
          </cell>
          <cell r="CE176" t="str">
            <v>0</v>
          </cell>
          <cell r="CF176" t="str">
            <v>0</v>
          </cell>
          <cell r="CG176" t="str">
            <v>0</v>
          </cell>
          <cell r="CH176" t="str">
            <v>0</v>
          </cell>
          <cell r="CI176" t="str">
            <v>0</v>
          </cell>
          <cell r="CJ176" t="str">
            <v>0</v>
          </cell>
          <cell r="CK176" t="str">
            <v>0</v>
          </cell>
          <cell r="CL176" t="str">
            <v>0</v>
          </cell>
          <cell r="CM176" t="str">
            <v>0</v>
          </cell>
          <cell r="CN176" t="str">
            <v>0</v>
          </cell>
          <cell r="CO176" t="str">
            <v>0</v>
          </cell>
          <cell r="CP176" t="str">
            <v>0</v>
          </cell>
          <cell r="CQ176" t="str">
            <v>0</v>
          </cell>
          <cell r="CR176" t="str">
            <v>0</v>
          </cell>
          <cell r="CS176" t="str">
            <v>0</v>
          </cell>
          <cell r="CT176" t="str">
            <v>0</v>
          </cell>
          <cell r="CU176" t="str">
            <v>0</v>
          </cell>
          <cell r="CV176">
            <v>0</v>
          </cell>
          <cell r="CW176" t="str">
            <v>0</v>
          </cell>
          <cell r="CX176" t="str">
            <v>0</v>
          </cell>
          <cell r="CY176">
            <v>9200</v>
          </cell>
          <cell r="CZ176">
            <v>169300</v>
          </cell>
          <cell r="DA176">
            <v>0</v>
          </cell>
          <cell r="DB176">
            <v>0</v>
          </cell>
          <cell r="DC176">
            <v>169300</v>
          </cell>
        </row>
        <row r="177">
          <cell r="A177" t="str">
            <v>FS582</v>
          </cell>
          <cell r="B177" t="str">
            <v>Edla Varun Teja</v>
          </cell>
          <cell r="C177" t="str">
            <v>Product Engeering</v>
          </cell>
          <cell r="D177" t="str">
            <v>30-09-2025</v>
          </cell>
          <cell r="E177" t="str">
            <v>10-10-2025</v>
          </cell>
          <cell r="F177" t="str">
            <v>2025-10</v>
          </cell>
          <cell r="G177" t="str">
            <v>Success</v>
          </cell>
          <cell r="H177" t="str">
            <v>N.A</v>
          </cell>
          <cell r="I177" t="str">
            <v>Hold Salary</v>
          </cell>
          <cell r="J177" t="str">
            <v>30</v>
          </cell>
          <cell r="K177" t="str">
            <v>0</v>
          </cell>
          <cell r="L177" t="str">
            <v>0</v>
          </cell>
          <cell r="M177" t="str">
            <v>N.A</v>
          </cell>
          <cell r="N177" t="str">
            <v>0</v>
          </cell>
          <cell r="O177" t="str">
            <v>0</v>
          </cell>
          <cell r="P177" t="str">
            <v>11</v>
          </cell>
          <cell r="Q177" t="str">
            <v>11</v>
          </cell>
          <cell r="R177" t="str">
            <v>Senior Software Engineer</v>
          </cell>
          <cell r="S177" t="str">
            <v>Delivery-IN</v>
          </cell>
          <cell r="T177" t="str">
            <v>Hyderabad</v>
          </cell>
          <cell r="U177" t="str">
            <v xml:space="preserve">Telangana </v>
          </cell>
          <cell r="V177" t="str">
            <v>50100498826343</v>
          </cell>
          <cell r="W177" t="str">
            <v>HDFC BANK</v>
          </cell>
          <cell r="X177" t="str">
            <v>128317</v>
          </cell>
          <cell r="Y177" t="str">
            <v>ADKEP9703F</v>
          </cell>
          <cell r="Z177" t="str">
            <v>52047</v>
          </cell>
          <cell r="AA177">
            <v>19084</v>
          </cell>
          <cell r="AB177">
            <v>0</v>
          </cell>
          <cell r="AC177">
            <v>20819</v>
          </cell>
          <cell r="AD177">
            <v>7634</v>
          </cell>
          <cell r="AE177">
            <v>0</v>
          </cell>
          <cell r="AF177">
            <v>5725</v>
          </cell>
          <cell r="AG177">
            <v>2099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10000</v>
          </cell>
          <cell r="AM177">
            <v>3667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39726</v>
          </cell>
          <cell r="AS177">
            <v>14566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 t="str">
            <v>0</v>
          </cell>
          <cell r="BF177">
            <v>0</v>
          </cell>
          <cell r="BG177">
            <v>0</v>
          </cell>
          <cell r="BH177">
            <v>47050</v>
          </cell>
          <cell r="BI177">
            <v>47050</v>
          </cell>
          <cell r="BJ177">
            <v>0</v>
          </cell>
          <cell r="BK177">
            <v>0</v>
          </cell>
          <cell r="BL177">
            <v>0</v>
          </cell>
          <cell r="BM177">
            <v>200</v>
          </cell>
          <cell r="BN177">
            <v>0</v>
          </cell>
          <cell r="BO177">
            <v>0</v>
          </cell>
          <cell r="BP177">
            <v>1800</v>
          </cell>
          <cell r="BQ177">
            <v>0</v>
          </cell>
          <cell r="BR177">
            <v>1800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 t="str">
            <v>0</v>
          </cell>
          <cell r="BZ177" t="str">
            <v>0</v>
          </cell>
          <cell r="CA177" t="str">
            <v>0</v>
          </cell>
          <cell r="CB177" t="str">
            <v>0</v>
          </cell>
          <cell r="CC177" t="str">
            <v>0</v>
          </cell>
          <cell r="CD177" t="str">
            <v>0</v>
          </cell>
          <cell r="CE177" t="str">
            <v>0</v>
          </cell>
          <cell r="CF177" t="str">
            <v>0</v>
          </cell>
          <cell r="CG177" t="str">
            <v>0</v>
          </cell>
          <cell r="CH177" t="str">
            <v>0</v>
          </cell>
          <cell r="CI177" t="str">
            <v>0</v>
          </cell>
          <cell r="CJ177" t="str">
            <v>0</v>
          </cell>
          <cell r="CK177" t="str">
            <v>0</v>
          </cell>
          <cell r="CL177" t="str">
            <v>0</v>
          </cell>
          <cell r="CM177" t="str">
            <v>0</v>
          </cell>
          <cell r="CN177" t="str">
            <v>0</v>
          </cell>
          <cell r="CO177" t="str">
            <v>0</v>
          </cell>
          <cell r="CP177" t="str">
            <v>0</v>
          </cell>
          <cell r="CQ177" t="str">
            <v>0</v>
          </cell>
          <cell r="CR177" t="str">
            <v>0</v>
          </cell>
          <cell r="CS177" t="str">
            <v>0</v>
          </cell>
          <cell r="CT177" t="str">
            <v>0</v>
          </cell>
          <cell r="CU177" t="str">
            <v>0</v>
          </cell>
          <cell r="CV177">
            <v>0</v>
          </cell>
          <cell r="CW177" t="str">
            <v>0</v>
          </cell>
          <cell r="CX177" t="str">
            <v>0</v>
          </cell>
          <cell r="CY177">
            <v>2000</v>
          </cell>
          <cell r="CZ177">
            <v>45050</v>
          </cell>
          <cell r="DA177">
            <v>0</v>
          </cell>
          <cell r="DB177">
            <v>0</v>
          </cell>
          <cell r="DC177">
            <v>45050</v>
          </cell>
        </row>
        <row r="178">
          <cell r="A178" t="str">
            <v>FS583</v>
          </cell>
          <cell r="B178" t="str">
            <v>Muthanapalli Visal</v>
          </cell>
          <cell r="C178" t="str">
            <v>Product Engeering</v>
          </cell>
          <cell r="D178" t="str">
            <v>06-10-2025</v>
          </cell>
          <cell r="E178" t="str">
            <v>N.A</v>
          </cell>
          <cell r="F178" t="str">
            <v>2025-10</v>
          </cell>
          <cell r="G178" t="str">
            <v>Success</v>
          </cell>
          <cell r="H178" t="str">
            <v>N.A</v>
          </cell>
          <cell r="I178" t="str">
            <v/>
          </cell>
          <cell r="J178" t="str">
            <v>30</v>
          </cell>
          <cell r="K178" t="str">
            <v>0</v>
          </cell>
          <cell r="L178" t="str">
            <v>0</v>
          </cell>
          <cell r="M178" t="str">
            <v>N.A</v>
          </cell>
          <cell r="N178" t="str">
            <v>0</v>
          </cell>
          <cell r="O178" t="str">
            <v>0</v>
          </cell>
          <cell r="P178" t="str">
            <v>20</v>
          </cell>
          <cell r="Q178" t="str">
            <v>20</v>
          </cell>
          <cell r="R178" t="str">
            <v>Senior Platform Engineer</v>
          </cell>
          <cell r="S178" t="str">
            <v>Delivery-IN</v>
          </cell>
          <cell r="T178" t="str">
            <v>Hyderabad</v>
          </cell>
          <cell r="U178" t="str">
            <v xml:space="preserve">Telangana </v>
          </cell>
          <cell r="V178" t="str">
            <v>260310100020375</v>
          </cell>
          <cell r="W178" t="str">
            <v>UNION BANK OF INDIA</v>
          </cell>
          <cell r="X178" t="str">
            <v>233725</v>
          </cell>
          <cell r="Y178" t="str">
            <v>EKTPM9832F</v>
          </cell>
          <cell r="Z178" t="str">
            <v>94210</v>
          </cell>
          <cell r="AA178">
            <v>62807</v>
          </cell>
          <cell r="AB178">
            <v>0</v>
          </cell>
          <cell r="AC178">
            <v>37684</v>
          </cell>
          <cell r="AD178">
            <v>25123</v>
          </cell>
          <cell r="AE178">
            <v>0</v>
          </cell>
          <cell r="AF178">
            <v>10363</v>
          </cell>
          <cell r="AG178">
            <v>6909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10000</v>
          </cell>
          <cell r="AM178">
            <v>6667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81468</v>
          </cell>
          <cell r="AS178">
            <v>54312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 t="str">
            <v>0</v>
          </cell>
          <cell r="BF178">
            <v>0</v>
          </cell>
          <cell r="BG178">
            <v>0</v>
          </cell>
          <cell r="BH178">
            <v>155818</v>
          </cell>
          <cell r="BI178">
            <v>155818</v>
          </cell>
          <cell r="BJ178">
            <v>0</v>
          </cell>
          <cell r="BK178">
            <v>0</v>
          </cell>
          <cell r="BL178">
            <v>5714</v>
          </cell>
          <cell r="BM178">
            <v>200</v>
          </cell>
          <cell r="BN178">
            <v>0</v>
          </cell>
          <cell r="BO178">
            <v>0</v>
          </cell>
          <cell r="BP178">
            <v>1800</v>
          </cell>
          <cell r="BQ178">
            <v>0</v>
          </cell>
          <cell r="BR178">
            <v>1800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 t="str">
            <v>0</v>
          </cell>
          <cell r="BZ178" t="str">
            <v>0</v>
          </cell>
          <cell r="CA178" t="str">
            <v>0</v>
          </cell>
          <cell r="CB178" t="str">
            <v>0</v>
          </cell>
          <cell r="CC178" t="str">
            <v>0</v>
          </cell>
          <cell r="CD178" t="str">
            <v>0</v>
          </cell>
          <cell r="CE178" t="str">
            <v>0</v>
          </cell>
          <cell r="CF178" t="str">
            <v>0</v>
          </cell>
          <cell r="CG178" t="str">
            <v>0</v>
          </cell>
          <cell r="CH178" t="str">
            <v>0</v>
          </cell>
          <cell r="CI178" t="str">
            <v>0</v>
          </cell>
          <cell r="CJ178" t="str">
            <v>0</v>
          </cell>
          <cell r="CK178" t="str">
            <v>0</v>
          </cell>
          <cell r="CL178" t="str">
            <v>0</v>
          </cell>
          <cell r="CM178" t="str">
            <v>0</v>
          </cell>
          <cell r="CN178" t="str">
            <v>0</v>
          </cell>
          <cell r="CO178" t="str">
            <v>0</v>
          </cell>
          <cell r="CP178" t="str">
            <v>0</v>
          </cell>
          <cell r="CQ178" t="str">
            <v>0</v>
          </cell>
          <cell r="CR178" t="str">
            <v>0</v>
          </cell>
          <cell r="CS178" t="str">
            <v>0</v>
          </cell>
          <cell r="CT178" t="str">
            <v>0</v>
          </cell>
          <cell r="CU178" t="str">
            <v>0</v>
          </cell>
          <cell r="CV178">
            <v>10000</v>
          </cell>
          <cell r="CW178" t="str">
            <v>10000</v>
          </cell>
          <cell r="CX178" t="str">
            <v>0</v>
          </cell>
          <cell r="CY178">
            <v>17714</v>
          </cell>
          <cell r="CZ178">
            <v>138104</v>
          </cell>
          <cell r="DA178">
            <v>0</v>
          </cell>
          <cell r="DB178">
            <v>0</v>
          </cell>
          <cell r="DC178">
            <v>138104</v>
          </cell>
        </row>
        <row r="179">
          <cell r="A179" t="str">
            <v>FS584</v>
          </cell>
          <cell r="B179" t="str">
            <v>Karpuram Dhanalakshmi Srivani</v>
          </cell>
          <cell r="C179" t="str">
            <v>Product Engeering</v>
          </cell>
          <cell r="D179" t="str">
            <v>15-10-2025</v>
          </cell>
          <cell r="E179" t="str">
            <v>N.A</v>
          </cell>
          <cell r="F179" t="str">
            <v>2025-10</v>
          </cell>
          <cell r="G179" t="str">
            <v>Success</v>
          </cell>
          <cell r="H179" t="str">
            <v>N.A</v>
          </cell>
          <cell r="I179" t="str">
            <v/>
          </cell>
          <cell r="J179" t="str">
            <v>30</v>
          </cell>
          <cell r="K179" t="str">
            <v>0</v>
          </cell>
          <cell r="L179" t="str">
            <v>0</v>
          </cell>
          <cell r="M179" t="str">
            <v>N.A</v>
          </cell>
          <cell r="N179" t="str">
            <v>0</v>
          </cell>
          <cell r="O179" t="str">
            <v>0</v>
          </cell>
          <cell r="P179" t="str">
            <v>11</v>
          </cell>
          <cell r="Q179" t="str">
            <v>11</v>
          </cell>
          <cell r="R179" t="str">
            <v>Senior Software Engineer</v>
          </cell>
          <cell r="S179" t="str">
            <v>Delivery-IN</v>
          </cell>
          <cell r="T179" t="str">
            <v>Hyderabad</v>
          </cell>
          <cell r="U179" t="str">
            <v xml:space="preserve">Telangana </v>
          </cell>
          <cell r="V179" t="str">
            <v>20338480733</v>
          </cell>
          <cell r="W179" t="str">
            <v>STATE BANK OF INDIA</v>
          </cell>
          <cell r="X179" t="str">
            <v>349094</v>
          </cell>
          <cell r="Y179" t="str">
            <v>HAHPS7198F</v>
          </cell>
          <cell r="Z179" t="str">
            <v>103271</v>
          </cell>
          <cell r="AA179">
            <v>37866</v>
          </cell>
          <cell r="AB179">
            <v>0</v>
          </cell>
          <cell r="AC179">
            <v>41308</v>
          </cell>
          <cell r="AD179">
            <v>15146</v>
          </cell>
          <cell r="AE179">
            <v>0</v>
          </cell>
          <cell r="AF179">
            <v>11360</v>
          </cell>
          <cell r="AG179">
            <v>4165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10000</v>
          </cell>
          <cell r="AM179">
            <v>3667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90438</v>
          </cell>
          <cell r="AS179">
            <v>33161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 t="str">
            <v>0</v>
          </cell>
          <cell r="BF179">
            <v>92717</v>
          </cell>
          <cell r="BG179">
            <v>92717</v>
          </cell>
          <cell r="BH179">
            <v>186722</v>
          </cell>
          <cell r="BI179">
            <v>94005</v>
          </cell>
          <cell r="BJ179">
            <v>0</v>
          </cell>
          <cell r="BK179">
            <v>0</v>
          </cell>
          <cell r="BL179">
            <v>7186</v>
          </cell>
          <cell r="BM179">
            <v>200</v>
          </cell>
          <cell r="BN179">
            <v>0</v>
          </cell>
          <cell r="BO179">
            <v>0</v>
          </cell>
          <cell r="BP179">
            <v>1800</v>
          </cell>
          <cell r="BQ179">
            <v>0</v>
          </cell>
          <cell r="BR179">
            <v>1800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 t="str">
            <v>0</v>
          </cell>
          <cell r="BZ179" t="str">
            <v>0</v>
          </cell>
          <cell r="CA179" t="str">
            <v>0</v>
          </cell>
          <cell r="CB179" t="str">
            <v>0</v>
          </cell>
          <cell r="CC179" t="str">
            <v>0</v>
          </cell>
          <cell r="CD179" t="str">
            <v>0</v>
          </cell>
          <cell r="CE179" t="str">
            <v>0</v>
          </cell>
          <cell r="CF179" t="str">
            <v>0</v>
          </cell>
          <cell r="CG179" t="str">
            <v>0</v>
          </cell>
          <cell r="CH179" t="str">
            <v>0</v>
          </cell>
          <cell r="CI179" t="str">
            <v>0</v>
          </cell>
          <cell r="CJ179" t="str">
            <v>0</v>
          </cell>
          <cell r="CK179" t="str">
            <v>0</v>
          </cell>
          <cell r="CL179" t="str">
            <v>0</v>
          </cell>
          <cell r="CM179" t="str">
            <v>0</v>
          </cell>
          <cell r="CN179" t="str">
            <v>0</v>
          </cell>
          <cell r="CO179" t="str">
            <v>0</v>
          </cell>
          <cell r="CP179" t="str">
            <v>0</v>
          </cell>
          <cell r="CQ179" t="str">
            <v>0</v>
          </cell>
          <cell r="CR179" t="str">
            <v>0</v>
          </cell>
          <cell r="CS179" t="str">
            <v>0</v>
          </cell>
          <cell r="CT179" t="str">
            <v>0</v>
          </cell>
          <cell r="CU179" t="str">
            <v>0</v>
          </cell>
          <cell r="CV179" t="str">
            <v>0</v>
          </cell>
          <cell r="CW179" t="str">
            <v>0</v>
          </cell>
          <cell r="CX179" t="str">
            <v>0</v>
          </cell>
          <cell r="CY179">
            <v>9186</v>
          </cell>
          <cell r="CZ179">
            <v>177536</v>
          </cell>
          <cell r="DA179">
            <v>0</v>
          </cell>
          <cell r="DB179">
            <v>0</v>
          </cell>
          <cell r="DC179">
            <v>177536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6.733682407408" createdVersion="8" refreshedVersion="8" minRefreshableVersion="3" recordCount="181" xr:uid="{5B81CA30-733B-4C58-AE7F-6556E14BBA51}">
  <cacheSource type="worksheet">
    <worksheetSource ref="A1:DC182" sheet="First"/>
  </cacheSource>
  <cacheFields count="107">
    <cacheField name="Employee Number" numFmtId="0">
      <sharedItems containsBlank="1"/>
    </cacheField>
    <cacheField name="Employee Name" numFmtId="0">
      <sharedItems containsBlank="1"/>
    </cacheField>
    <cacheField name="Cost Centre" numFmtId="0">
      <sharedItems containsBlank="1" count="17">
        <s v="Talent Acquisition"/>
        <s v="HR"/>
        <s v="Admin"/>
        <s v="Executive Management"/>
        <s v="Quality Engineering"/>
        <s v="Product Engineering"/>
        <s v="Sales"/>
        <s v="Data &amp; Insights"/>
        <s v="Staffing"/>
        <s v="Cloud"/>
        <s v="Internal IT"/>
        <s v="Cyber Security"/>
        <s v="Finance"/>
        <s v="AI/ML Delivery"/>
        <s v="Corporate"/>
        <s v="Product Engeering"/>
        <m/>
      </sharedItems>
    </cacheField>
    <cacheField name="Joining Date" numFmtId="0">
      <sharedItems containsBlank="1"/>
    </cacheField>
    <cacheField name="Quit Date" numFmtId="0">
      <sharedItems containsDate="1" containsBlank="1" containsMixedTypes="1" minDate="2025-11-10T00:00:00" maxDate="2025-11-22T00:00:00"/>
    </cacheField>
    <cacheField name="For Month(YYYY-MM)" numFmtId="0">
      <sharedItems containsBlank="1"/>
    </cacheField>
    <cacheField name="Payroll Status" numFmtId="0">
      <sharedItems containsBlank="1"/>
    </cacheField>
    <cacheField name="Payroll Status Message" numFmtId="0">
      <sharedItems containsBlank="1"/>
    </cacheField>
    <cacheField name="Payment Mode" numFmtId="0">
      <sharedItems containsBlank="1"/>
    </cacheField>
    <cacheField name="Total Days" numFmtId="0">
      <sharedItems containsBlank="1"/>
    </cacheField>
    <cacheField name="LOP Days" numFmtId="0">
      <sharedItems containsBlank="1"/>
    </cacheField>
    <cacheField name="Previous Months LOP days" numFmtId="0">
      <sharedItems containsBlank="1"/>
    </cacheField>
    <cacheField name="Previous Months LOP List" numFmtId="0">
      <sharedItems containsBlank="1"/>
    </cacheField>
    <cacheField name="Increment Arrears Days" numFmtId="0">
      <sharedItems containsBlank="1"/>
    </cacheField>
    <cacheField name="Arrears Days" numFmtId="0">
      <sharedItems containsBlank="1"/>
    </cacheField>
    <cacheField name="Present Days" numFmtId="0">
      <sharedItems containsBlank="1"/>
    </cacheField>
    <cacheField name="Actual Working Days" numFmtId="0">
      <sharedItems containsBlank="1"/>
    </cacheField>
    <cacheField name="Designation" numFmtId="0">
      <sharedItems containsBlank="1"/>
    </cacheField>
    <cacheField name="Business Unit" numFmtId="0">
      <sharedItems containsBlank="1"/>
    </cacheField>
    <cacheField name="Location" numFmtId="0">
      <sharedItems containsBlank="1"/>
    </cacheField>
    <cacheField name="Location State" numFmtId="0">
      <sharedItems containsBlank="1"/>
    </cacheField>
    <cacheField name="Saving Account Number" numFmtId="0">
      <sharedItems containsBlank="1"/>
    </cacheField>
    <cacheField name="Bank Name" numFmtId="0">
      <sharedItems containsBlank="1"/>
    </cacheField>
    <cacheField name="Master Gross Salary" numFmtId="0">
      <sharedItems containsBlank="1"/>
    </cacheField>
    <cacheField name="PAN Number" numFmtId="0">
      <sharedItems containsBlank="1"/>
    </cacheField>
    <cacheField name="Original Basic " numFmtId="0">
      <sharedItems containsString="0" containsBlank="1" containsNumber="1" containsInteger="1" minValue="6853" maxValue="333333"/>
    </cacheField>
    <cacheField name="Basic " numFmtId="0">
      <sharedItems containsString="0" containsBlank="1" containsNumber="1" containsInteger="1" minValue="3226" maxValue="333333"/>
    </cacheField>
    <cacheField name="Basic Arrears " numFmtId="0">
      <sharedItems containsString="0" containsBlank="1" containsNumber="1" containsInteger="1" minValue="-513" maxValue="11812"/>
    </cacheField>
    <cacheField name="Original HRA " numFmtId="0">
      <sharedItems containsString="0" containsBlank="1" containsNumber="1" containsInteger="1" minValue="2741" maxValue="133333"/>
    </cacheField>
    <cacheField name="HRA " numFmtId="0">
      <sharedItems containsString="0" containsBlank="1" containsNumber="1" containsInteger="1" minValue="1290" maxValue="133333"/>
    </cacheField>
    <cacheField name="HRA Arrears " numFmtId="0">
      <sharedItems containsString="0" containsBlank="1" containsNumber="1" containsInteger="1" minValue="-206" maxValue="4726"/>
    </cacheField>
    <cacheField name="Original Statutory Bonus " numFmtId="0">
      <sharedItems containsString="0" containsBlank="1" containsNumber="1" containsInteger="1" minValue="754" maxValue="36667"/>
    </cacheField>
    <cacheField name="Statutory Bonus " numFmtId="0">
      <sharedItems containsString="0" containsBlank="1" containsNumber="1" containsInteger="1" minValue="355" maxValue="36667"/>
    </cacheField>
    <cacheField name="Statutory Bonus Arrears " numFmtId="0">
      <sharedItems containsString="0" containsBlank="1" containsNumber="1" containsInteger="1" minValue="-56" maxValue="1300"/>
    </cacheField>
    <cacheField name="Original Special Allowances " numFmtId="0">
      <sharedItems containsString="0" containsBlank="1" containsNumber="1" containsInteger="1" minValue="0" maxValue="0"/>
    </cacheField>
    <cacheField name="Special Allowances " numFmtId="0">
      <sharedItems containsString="0" containsBlank="1" containsNumber="1" containsInteger="1" minValue="0" maxValue="0"/>
    </cacheField>
    <cacheField name="Special Allowances Arrears " numFmtId="0">
      <sharedItems containsString="0" containsBlank="1" containsNumber="1" containsInteger="1" minValue="0" maxValue="0"/>
    </cacheField>
    <cacheField name="Original LTA " numFmtId="0">
      <sharedItems containsString="0" containsBlank="1" containsNumber="1" containsInteger="1" minValue="1713" maxValue="10000"/>
    </cacheField>
    <cacheField name="LTA " numFmtId="0">
      <sharedItems containsString="0" containsBlank="1" containsNumber="1" containsInteger="1" minValue="645" maxValue="10000"/>
    </cacheField>
    <cacheField name="LTA Arrears " numFmtId="0">
      <sharedItems containsString="0" containsBlank="1" containsNumber="1" containsInteger="1" minValue="-3419" maxValue="783"/>
    </cacheField>
    <cacheField name="Original Food Coupon " numFmtId="0">
      <sharedItems containsString="0" containsBlank="1" containsNumber="1" containsInteger="1" minValue="0" maxValue="2200"/>
    </cacheField>
    <cacheField name="Food Coupon " numFmtId="0">
      <sharedItems containsBlank="1" containsMixedTypes="1" containsNumber="1" containsInteger="1" minValue="0" maxValue="2200"/>
    </cacheField>
    <cacheField name="Food Coupon Arrears " numFmtId="0">
      <sharedItems containsString="0" containsBlank="1" containsNumber="1" containsInteger="1" minValue="0" maxValue="0"/>
    </cacheField>
    <cacheField name="Original Other Allowance " numFmtId="0">
      <sharedItems containsString="0" containsBlank="1" containsNumber="1" containsInteger="1" minValue="3272" maxValue="280000"/>
    </cacheField>
    <cacheField name="Other Allowance " numFmtId="0">
      <sharedItems containsString="0" containsBlank="1" containsNumber="1" containsInteger="1" minValue="2432" maxValue="280000"/>
    </cacheField>
    <cacheField name="Other Allowance Arrears " numFmtId="0">
      <sharedItems containsString="0" containsBlank="1" containsNumber="1" containsInteger="1" minValue="0" maxValue="10785"/>
    </cacheField>
    <cacheField name="OVERTIME" numFmtId="0">
      <sharedItems containsString="0" containsBlank="1" containsNumber="1" containsInteger="1" minValue="0" maxValue="0"/>
    </cacheField>
    <cacheField name="BONUS" numFmtId="0">
      <sharedItems containsString="0" containsBlank="1" containsNumber="1" containsInteger="1" minValue="0" maxValue="0"/>
    </cacheField>
    <cacheField name="INCENTIVE" numFmtId="0">
      <sharedItems containsString="0" containsBlank="1" containsNumber="1" containsInteger="1" minValue="0" maxValue="41700"/>
    </cacheField>
    <cacheField name="ARREARS" numFmtId="0">
      <sharedItems containsString="0" containsBlank="1" containsNumber="1" containsInteger="1" minValue="0" maxValue="4108"/>
    </cacheField>
    <cacheField name="VARIABLE PAY" numFmtId="0">
      <sharedItems containsString="0" containsBlank="1" containsNumber="1" containsInteger="1" minValue="0" maxValue="0"/>
    </cacheField>
    <cacheField name="SHIFT ALLOWANCE" numFmtId="0">
      <sharedItems containsString="0" containsBlank="1" containsNumber="1" containsInteger="1" minValue="0" maxValue="22000"/>
    </cacheField>
    <cacheField name="RETENTION BONUS" numFmtId="0">
      <sharedItems containsString="0" containsBlank="1" containsNumber="1" containsInteger="1" minValue="0" maxValue="0"/>
    </cacheField>
    <cacheField name="VARIABLE PERFORMANCE PAY" numFmtId="0">
      <sharedItems containsString="0" containsBlank="1" containsNumber="1" containsInteger="1" minValue="0" maxValue="0"/>
    </cacheField>
    <cacheField name="RELOCATION ALLOWANCE" numFmtId="0">
      <sharedItems containsString="0" containsBlank="1" containsNumber="1" containsInteger="1" minValue="0" maxValue="0"/>
    </cacheField>
    <cacheField name="SEVERANCE PAY" numFmtId="0">
      <sharedItems containsString="0" containsBlank="1" containsNumber="1" containsInteger="1" minValue="0" maxValue="0"/>
    </cacheField>
    <cacheField name="OTHERS _ REIMBURSEMENT" numFmtId="0">
      <sharedItems containsString="0" containsBlank="1" containsNumber="1" containsInteger="1" minValue="0" maxValue="0"/>
    </cacheField>
    <cacheField name="OTHERS" numFmtId="0">
      <sharedItems containsString="0" containsBlank="1" containsNumber="1" containsInteger="1" minValue="0" maxValue="20000"/>
    </cacheField>
    <cacheField name="Total Extra Payments" numFmtId="0">
      <sharedItems containsString="0" containsBlank="1" containsNumber="1" containsInteger="1" minValue="0" maxValue="42000"/>
    </cacheField>
    <cacheField name="Total Gross Salary" numFmtId="0">
      <sharedItems containsString="0" containsBlank="1" containsNumber="1" containsInteger="1" minValue="7948" maxValue="793333"/>
    </cacheField>
    <cacheField name="Total PT Gross" numFmtId="0">
      <sharedItems containsString="0" containsBlank="1" containsNumber="1" containsInteger="1" minValue="7948" maxValue="793333"/>
    </cacheField>
    <cacheField name="Food Coupon Deduction " numFmtId="0">
      <sharedItems containsString="0" containsBlank="1" containsNumber="1" containsInteger="1" minValue="0" maxValue="2200"/>
    </cacheField>
    <cacheField name="Food Coupon Deduction Arrears " numFmtId="0">
      <sharedItems containsString="0" containsBlank="1" containsNumber="1" containsInteger="1" minValue="0" maxValue="0"/>
    </cacheField>
    <cacheField name="TDS" numFmtId="0">
      <sharedItems containsString="0" containsBlank="1" containsNumber="1" containsInteger="1" minValue="0" maxValue="230087"/>
    </cacheField>
    <cacheField name="Professional Tax" numFmtId="0">
      <sharedItems containsString="0" containsBlank="1" containsNumber="1" containsInteger="1" minValue="0" maxValue="200"/>
    </cacheField>
    <cacheField name="ESIC" numFmtId="0">
      <sharedItems containsString="0" containsBlank="1" containsNumber="1" containsInteger="1" minValue="0" maxValue="0"/>
    </cacheField>
    <cacheField name="ESIC Arrears" numFmtId="0">
      <sharedItems containsString="0" containsBlank="1" containsNumber="1" containsInteger="1" minValue="0" maxValue="0"/>
    </cacheField>
    <cacheField name="Provident Fund" numFmtId="0">
      <sharedItems containsString="0" containsBlank="1" containsNumber="1" containsInteger="1" minValue="387" maxValue="40000"/>
    </cacheField>
    <cacheField name="Provident Fund Arrears" numFmtId="0">
      <sharedItems containsString="0" containsBlank="1" containsNumber="1" containsInteger="1" minValue="0" maxValue="1625"/>
    </cacheField>
    <cacheField name="Provident Fund- Employer" numFmtId="0">
      <sharedItems containsString="0" containsBlank="1" containsNumber="1" containsInteger="1" minValue="387" maxValue="40000"/>
    </cacheField>
    <cacheField name="Provident Fund- Employer Arrears" numFmtId="0">
      <sharedItems containsString="0" containsBlank="1" containsNumber="1" containsInteger="1" minValue="0" maxValue="1418"/>
    </cacheField>
    <cacheField name="Superannuation" numFmtId="0">
      <sharedItems containsString="0" containsBlank="1" containsNumber="1" containsInteger="1" minValue="0" maxValue="0"/>
    </cacheField>
    <cacheField name="Superannuation Arrears" numFmtId="0">
      <sharedItems containsString="0" containsBlank="1" containsNumber="1" containsInteger="1" minValue="0" maxValue="0"/>
    </cacheField>
    <cacheField name="Superannuation- Employer" numFmtId="0">
      <sharedItems containsString="0" containsBlank="1" containsNumber="1" containsInteger="1" minValue="0" maxValue="0"/>
    </cacheField>
    <cacheField name="Superannuation- Employer Arrears" numFmtId="0">
      <sharedItems containsString="0" containsBlank="1" containsNumber="1" containsInteger="1" minValue="0" maxValue="0"/>
    </cacheField>
    <cacheField name="LWF" numFmtId="0">
      <sharedItems containsString="0" containsBlank="1" containsNumber="1" containsInteger="1" minValue="0" maxValue="0"/>
    </cacheField>
    <cacheField name="EDUCATION LOAN " numFmtId="0">
      <sharedItems containsString="0" containsBlank="1" containsNumber="1" containsInteger="1" minValue="0" maxValue="0"/>
    </cacheField>
    <cacheField name="PERSONAL LOAN " numFmtId="0">
      <sharedItems containsString="0" containsBlank="1" containsNumber="1" containsInteger="1" minValue="0" maxValue="0"/>
    </cacheField>
    <cacheField name="OTHER LOAN " numFmtId="0">
      <sharedItems containsString="0" containsBlank="1" containsNumber="1" containsInteger="1" minValue="0" maxValue="0"/>
    </cacheField>
    <cacheField name="Total Loans " numFmtId="0">
      <sharedItems containsString="0" containsBlank="1" containsNumber="1" containsInteger="1" minValue="0" maxValue="0"/>
    </cacheField>
    <cacheField name="REGULAR " numFmtId="0">
      <sharedItems containsString="0" containsBlank="1" containsNumber="1" containsInteger="1" minValue="0" maxValue="0"/>
    </cacheField>
    <cacheField name="VPF " numFmtId="0">
      <sharedItems containsString="0" containsBlank="1" containsNumber="1" containsInteger="1" minValue="0" maxValue="0"/>
    </cacheField>
    <cacheField name="MEDICLAIM " numFmtId="0">
      <sharedItems containsString="0" containsBlank="1" containsNumber="1" containsInteger="1" minValue="0" maxValue="0"/>
    </cacheField>
    <cacheField name="NPS(1B) " numFmtId="0">
      <sharedItems containsString="0" containsBlank="1" containsNumber="1" containsInteger="1" minValue="0" maxValue="0"/>
    </cacheField>
    <cacheField name="LICPREMIUM " numFmtId="0">
      <sharedItems containsString="0" containsBlank="1" containsNumber="1" containsInteger="1" minValue="0" maxValue="0"/>
    </cacheField>
    <cacheField name="VPFPERCENT " numFmtId="0">
      <sharedItems containsString="0" containsBlank="1" containsNumber="1" containsInteger="1" minValue="0" maxValue="0"/>
    </cacheField>
    <cacheField name="RFA/CLA " numFmtId="0">
      <sharedItems containsString="0" containsBlank="1" containsNumber="1" containsInteger="1" minValue="0" maxValue="0"/>
    </cacheField>
    <cacheField name="80D - Health Insurance Self " numFmtId="0">
      <sharedItems containsString="0" containsBlank="1" containsNumber="1" containsInteger="1" minValue="0" maxValue="0"/>
    </cacheField>
    <cacheField name="80D - Health Insurance Parents " numFmtId="0">
      <sharedItems containsString="0" containsBlank="1" containsNumber="1" containsInteger="1" minValue="0" maxValue="0"/>
    </cacheField>
    <cacheField name="80D - Health Insurance Self (SR) " numFmtId="0">
      <sharedItems containsString="0" containsBlank="1" containsNumber="1" containsInteger="1" minValue="0" maxValue="0"/>
    </cacheField>
    <cacheField name="80D - Health Insurance Parents (SR) " numFmtId="0">
      <sharedItems containsString="0" containsBlank="1" containsNumber="1" containsInteger="1" minValue="0" maxValue="0"/>
    </cacheField>
    <cacheField name="80G - Social Causes " numFmtId="0">
      <sharedItems containsString="0" containsBlank="1" containsNumber="1" containsInteger="1" minValue="0" maxValue="0"/>
    </cacheField>
    <cacheField name="80G - Pvt Entities (100%) " numFmtId="0">
      <sharedItems containsString="0" containsBlank="1" containsNumber="1" containsInteger="1" minValue="0" maxValue="0"/>
    </cacheField>
    <cacheField name="80G - Pvt Entities (50%) " numFmtId="0">
      <sharedItems containsString="0" containsBlank="1" containsNumber="1" containsInteger="1" minValue="0" maxValue="0"/>
    </cacheField>
    <cacheField name="80G - Pvt Entities Unrestricted(100%) " numFmtId="0">
      <sharedItems containsString="0" containsBlank="1" containsNumber="1" containsInteger="1" minValue="0" maxValue="0"/>
    </cacheField>
    <cacheField name="80G - Pvt Entities Unrestricted(50%) " numFmtId="0">
      <sharedItems containsString="0" containsBlank="1" containsNumber="1" containsInteger="1" minValue="0" maxValue="0"/>
    </cacheField>
    <cacheField name="80GGA - Scientific Research and Rural Dev " numFmtId="0">
      <sharedItems containsString="0" containsBlank="1" containsNumber="1" containsInteger="1" minValue="0" maxValue="0"/>
    </cacheField>
    <cacheField name="80GGC - Political Parties " numFmtId="0">
      <sharedItems containsString="0" containsBlank="1" containsNumber="1" containsInteger="1" minValue="0" maxValue="0"/>
    </cacheField>
    <cacheField name="OTHER RECOVERIES " numFmtId="0">
      <sharedItems containsString="0" containsBlank="1" containsNumber="1" containsInteger="1" minValue="0" maxValue="207"/>
    </cacheField>
    <cacheField name="Mediclaim Insurance Recovery " numFmtId="0">
      <sharedItems containsString="0" containsBlank="1" containsNumber="1" containsInteger="1" minValue="0" maxValue="11815"/>
    </cacheField>
    <cacheField name="Total Advances / Extra Deductions" numFmtId="0">
      <sharedItems containsString="0" containsBlank="1" containsNumber="1" containsInteger="1" minValue="0" maxValue="11815"/>
    </cacheField>
    <cacheField name="Cumulative Deductions Carry Forward" numFmtId="0">
      <sharedItems containsString="0" containsBlank="1" containsNumber="1" containsInteger="1" minValue="0" maxValue="0"/>
    </cacheField>
    <cacheField name="Total Deduction" numFmtId="0">
      <sharedItems containsString="0" containsBlank="1" containsNumber="1" containsInteger="1" minValue="387" maxValue="270287"/>
    </cacheField>
    <cacheField name="Net Salary" numFmtId="0">
      <sharedItems containsString="0" containsBlank="1" containsNumber="1" containsInteger="1" minValue="7561" maxValue="523046"/>
    </cacheField>
    <cacheField name="Hold Payment Total" numFmtId="0">
      <sharedItems containsBlank="1"/>
    </cacheField>
    <cacheField name="Deductions Carry Forward" numFmtId="0">
      <sharedItems containsBlank="1"/>
    </cacheField>
    <cacheField name="Total Salary" numFmtId="0">
      <sharedItems containsString="0" containsBlank="1" containsNumber="1" containsInteger="1" minValue="7561" maxValue="523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FS005"/>
    <s v="Hari Priya Ulli"/>
    <x v="0"/>
    <s v="16-06-2014"/>
    <s v="N.A"/>
    <s v="2025-11"/>
    <s v="Success"/>
    <s v="N.A"/>
    <s v=""/>
    <s v="31"/>
    <s v="0"/>
    <s v="0"/>
    <s v="N.A"/>
    <s v="0"/>
    <s v="0"/>
    <s v="31"/>
    <s v="31"/>
    <s v="Manager - Talent Acquisition"/>
    <s v="Recruitment-IN"/>
    <s v="Hyderabad"/>
    <s v="Telangana "/>
    <s v="20186864118"/>
    <s v="STATE BANK OF INDIA"/>
    <s v="145318"/>
    <s v="ACPPU4815L"/>
    <n v="60428"/>
    <n v="60428"/>
    <n v="0"/>
    <n v="24171"/>
    <n v="24171"/>
    <n v="0"/>
    <n v="6647"/>
    <n v="6647"/>
    <n v="0"/>
    <n v="0"/>
    <n v="0"/>
    <n v="0"/>
    <n v="10000"/>
    <n v="10000"/>
    <n v="0"/>
    <n v="0"/>
    <n v="0"/>
    <n v="0"/>
    <n v="42572"/>
    <n v="42572"/>
    <n v="0"/>
    <n v="0"/>
    <n v="0"/>
    <n v="1500"/>
    <n v="0"/>
    <n v="0"/>
    <n v="0"/>
    <n v="0"/>
    <n v="0"/>
    <n v="0"/>
    <n v="0"/>
    <n v="0"/>
    <n v="0"/>
    <n v="1500"/>
    <n v="145318"/>
    <n v="145318"/>
    <n v="0"/>
    <n v="0"/>
    <n v="11795"/>
    <n v="200"/>
    <n v="0"/>
    <n v="0"/>
    <n v="7251"/>
    <n v="0"/>
    <n v="7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46"/>
    <n v="126072"/>
    <s v="0"/>
    <s v="0"/>
    <n v="126072"/>
  </r>
  <r>
    <s v="FS049"/>
    <s v="Vikas Chamakura "/>
    <x v="1"/>
    <s v="09-02-2017"/>
    <s v="N.A"/>
    <s v="2025-11"/>
    <s v="Success"/>
    <s v="N.A"/>
    <s v=""/>
    <s v="31"/>
    <s v="0"/>
    <s v="0"/>
    <s v="N.A"/>
    <s v="0"/>
    <s v="0"/>
    <s v="31"/>
    <s v="31"/>
    <s v="HR Manager"/>
    <s v="Human Resources"/>
    <s v="Hyderabad"/>
    <s v="Telangana "/>
    <s v="50100570370888"/>
    <s v="HDFC BANK"/>
    <s v="126924"/>
    <s v="BLVPC2214F"/>
    <n v="53329"/>
    <n v="53329"/>
    <n v="0"/>
    <n v="21332"/>
    <n v="21332"/>
    <n v="0"/>
    <n v="5866"/>
    <n v="5866"/>
    <n v="0"/>
    <n v="0"/>
    <n v="0"/>
    <n v="0"/>
    <n v="10000"/>
    <n v="10000"/>
    <n v="0"/>
    <n v="2200"/>
    <n v="2200"/>
    <n v="0"/>
    <n v="34197"/>
    <n v="34197"/>
    <n v="0"/>
    <n v="0"/>
    <n v="0"/>
    <n v="0"/>
    <n v="0"/>
    <n v="0"/>
    <n v="0"/>
    <n v="0"/>
    <n v="0"/>
    <n v="0"/>
    <n v="0"/>
    <n v="0"/>
    <n v="0"/>
    <n v="0"/>
    <n v="126924"/>
    <n v="126924"/>
    <n v="2200"/>
    <n v="0"/>
    <n v="8425"/>
    <n v="200"/>
    <n v="0"/>
    <n v="0"/>
    <n v="6399"/>
    <n v="0"/>
    <n v="6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24"/>
    <n v="109700"/>
    <s v="0"/>
    <s v="0"/>
    <n v="109700"/>
  </r>
  <r>
    <s v="FS104"/>
    <s v="Parvathalu Dayyala "/>
    <x v="2"/>
    <s v="01-12-2018"/>
    <s v="N.A"/>
    <s v="2025-11"/>
    <s v="Success"/>
    <s v="N.A"/>
    <s v=""/>
    <s v="31"/>
    <s v="0"/>
    <s v="0"/>
    <s v="N.A"/>
    <s v="0"/>
    <s v="0"/>
    <s v="31"/>
    <s v="31"/>
    <s v="Office Assistant/Security"/>
    <s v="Office Operation-IN"/>
    <s v="Hyderabad"/>
    <s v="Telangana "/>
    <s v="50100568112416"/>
    <s v="HDFC BANK"/>
    <s v="37800"/>
    <s v="EXCPP1470G"/>
    <n v="15840"/>
    <n v="15840"/>
    <n v="0"/>
    <n v="6336"/>
    <n v="6336"/>
    <n v="0"/>
    <n v="1742"/>
    <n v="1742"/>
    <n v="0"/>
    <n v="0"/>
    <n v="0"/>
    <n v="0"/>
    <n v="3960"/>
    <n v="3960"/>
    <n v="0"/>
    <n v="0"/>
    <n v="0"/>
    <n v="0"/>
    <n v="9922"/>
    <n v="9922"/>
    <n v="0"/>
    <n v="0"/>
    <n v="0"/>
    <n v="0"/>
    <n v="0"/>
    <n v="0"/>
    <n v="0"/>
    <n v="0"/>
    <n v="0"/>
    <n v="0"/>
    <n v="0"/>
    <n v="0"/>
    <n v="0"/>
    <n v="0"/>
    <n v="37800"/>
    <n v="378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5800"/>
    <s v="0"/>
    <s v="0"/>
    <n v="35800"/>
  </r>
  <r>
    <s v="FS128"/>
    <s v="Manohar Reddy Mayaluri "/>
    <x v="3"/>
    <s v="26-10-2020"/>
    <s v="N.A"/>
    <s v="2025-11"/>
    <s v="Success"/>
    <s v="N.A"/>
    <s v=""/>
    <s v="31"/>
    <s v="0"/>
    <s v="0"/>
    <s v="N.A"/>
    <s v="0"/>
    <s v="0"/>
    <s v="31"/>
    <s v="31"/>
    <s v="CEO"/>
    <s v="Executive"/>
    <s v="Hyderabad"/>
    <s v="Telangana "/>
    <s v="99909652211000"/>
    <s v="HDFC BANK"/>
    <s v="793333"/>
    <s v="AZKPM9408R"/>
    <n v="333333"/>
    <n v="333333"/>
    <n v="0"/>
    <n v="133333"/>
    <n v="133333"/>
    <n v="0"/>
    <n v="36667"/>
    <n v="36667"/>
    <n v="0"/>
    <n v="0"/>
    <n v="0"/>
    <n v="0"/>
    <n v="10000"/>
    <n v="10000"/>
    <n v="0"/>
    <n v="0"/>
    <n v="0"/>
    <n v="0"/>
    <n v="280000"/>
    <n v="280000"/>
    <n v="0"/>
    <n v="0"/>
    <n v="0"/>
    <n v="0"/>
    <n v="0"/>
    <n v="0"/>
    <n v="0"/>
    <n v="0"/>
    <n v="0"/>
    <n v="0"/>
    <n v="0"/>
    <n v="0"/>
    <n v="0"/>
    <n v="0"/>
    <n v="793333"/>
    <n v="793333"/>
    <n v="0"/>
    <n v="0"/>
    <n v="230087"/>
    <n v="200"/>
    <n v="0"/>
    <n v="0"/>
    <n v="40000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287"/>
    <n v="523046"/>
    <s v="0"/>
    <s v="0"/>
    <n v="523046"/>
  </r>
  <r>
    <s v="FS136"/>
    <s v="Krishna Kishore Battula "/>
    <x v="4"/>
    <s v="31-08-2020"/>
    <s v="N.A"/>
    <s v="2025-11"/>
    <s v="Success"/>
    <s v="N.A"/>
    <s v=""/>
    <s v="31"/>
    <s v="0"/>
    <s v="0"/>
    <s v="N.A"/>
    <s v="0"/>
    <s v="0"/>
    <s v="31"/>
    <s v="31"/>
    <s v="Director/ Lead Architect- QA"/>
    <s v="Quality Engineering Practice"/>
    <s v="Hyderabad"/>
    <s v="Telangana "/>
    <s v="50100008645661"/>
    <s v="HDFC BANK"/>
    <s v="342205"/>
    <s v="AZRPB9400F"/>
    <n v="137602"/>
    <n v="137602"/>
    <n v="0"/>
    <n v="55041"/>
    <n v="55041"/>
    <n v="0"/>
    <n v="15136"/>
    <n v="15136"/>
    <n v="0"/>
    <n v="0"/>
    <n v="0"/>
    <n v="0"/>
    <n v="10000"/>
    <n v="10000"/>
    <n v="0"/>
    <n v="0"/>
    <n v="0"/>
    <n v="0"/>
    <n v="124426"/>
    <n v="124426"/>
    <n v="0"/>
    <n v="0"/>
    <n v="0"/>
    <n v="0"/>
    <n v="0"/>
    <n v="0"/>
    <n v="0"/>
    <n v="0"/>
    <n v="0"/>
    <n v="0"/>
    <n v="0"/>
    <n v="0"/>
    <n v="0"/>
    <n v="0"/>
    <n v="342205"/>
    <n v="342205"/>
    <n v="0"/>
    <n v="0"/>
    <n v="6841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418"/>
    <n v="271787"/>
    <s v="0"/>
    <s v="0"/>
    <n v="271787"/>
  </r>
  <r>
    <s v="FS141"/>
    <s v="Srinivas Yegireddy "/>
    <x v="4"/>
    <s v="16-11-2020"/>
    <s v="N.A"/>
    <s v="2025-11"/>
    <s v="Success"/>
    <s v="N.A"/>
    <s v=""/>
    <s v="31"/>
    <s v="0"/>
    <s v="0"/>
    <s v="N.A"/>
    <s v="0"/>
    <s v="0"/>
    <s v="31"/>
    <s v="31"/>
    <s v="Senior Manager Quality "/>
    <s v="Delivery-IN"/>
    <s v="Hyderabad"/>
    <s v="Telangana "/>
    <s v="20056357796"/>
    <s v="STATE BANK OF INDIA"/>
    <s v="219032"/>
    <s v="ABBPY2005K"/>
    <n v="92030"/>
    <n v="92030"/>
    <n v="0"/>
    <n v="36812"/>
    <n v="36812"/>
    <n v="0"/>
    <n v="10123"/>
    <n v="10123"/>
    <n v="0"/>
    <n v="0"/>
    <n v="0"/>
    <n v="0"/>
    <n v="10000"/>
    <n v="10000"/>
    <n v="0"/>
    <n v="0"/>
    <n v="0"/>
    <n v="0"/>
    <n v="70067"/>
    <n v="70067"/>
    <n v="0"/>
    <n v="0"/>
    <n v="0"/>
    <n v="0"/>
    <n v="0"/>
    <n v="0"/>
    <n v="0"/>
    <n v="0"/>
    <n v="0"/>
    <n v="0"/>
    <n v="0"/>
    <n v="0"/>
    <n v="0"/>
    <n v="0"/>
    <n v="219032"/>
    <n v="219032"/>
    <n v="0"/>
    <n v="0"/>
    <n v="29988"/>
    <n v="200"/>
    <n v="0"/>
    <n v="0"/>
    <n v="11044"/>
    <n v="0"/>
    <n v="11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232"/>
    <n v="177800"/>
    <s v="0"/>
    <s v="0"/>
    <n v="177800"/>
  </r>
  <r>
    <s v="FS143"/>
    <s v="Seetha Lakshmi Polishetty "/>
    <x v="4"/>
    <s v="23-11-2020"/>
    <s v="N.A"/>
    <s v="2025-11"/>
    <s v="Success"/>
    <s v="N.A"/>
    <s v=""/>
    <s v="31"/>
    <s v="0"/>
    <s v="0"/>
    <s v="N.A"/>
    <s v="0"/>
    <s v="0"/>
    <s v="31"/>
    <s v="31"/>
    <s v="Manager Quality Engineering"/>
    <s v="Quality Engineering Practice"/>
    <s v="Hyderabad"/>
    <s v="Telangana "/>
    <s v="05451610481509"/>
    <s v="HDFC BANK"/>
    <s v="130150"/>
    <s v="BABPK1724M"/>
    <n v="52780"/>
    <n v="52780"/>
    <n v="0"/>
    <n v="21112"/>
    <n v="21112"/>
    <n v="0"/>
    <n v="5806"/>
    <n v="5806"/>
    <n v="0"/>
    <n v="0"/>
    <n v="0"/>
    <n v="0"/>
    <n v="10000"/>
    <n v="10000"/>
    <n v="0"/>
    <n v="0"/>
    <n v="0"/>
    <n v="0"/>
    <n v="40452"/>
    <n v="40452"/>
    <n v="0"/>
    <n v="0"/>
    <n v="0"/>
    <n v="0"/>
    <n v="0"/>
    <n v="0"/>
    <n v="0"/>
    <n v="0"/>
    <n v="0"/>
    <n v="0"/>
    <n v="0"/>
    <n v="0"/>
    <n v="0"/>
    <n v="0"/>
    <n v="130150"/>
    <n v="130150"/>
    <n v="0"/>
    <n v="0"/>
    <n v="892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29"/>
    <n v="119221"/>
    <s v="0"/>
    <s v="0"/>
    <n v="119221"/>
  </r>
  <r>
    <s v="FS156"/>
    <s v="Vinod Ullaganti "/>
    <x v="5"/>
    <s v="09-02-2021"/>
    <s v="N.A"/>
    <s v="2025-11"/>
    <s v="Success"/>
    <s v="N.A"/>
    <s v=""/>
    <s v="31"/>
    <s v="0"/>
    <s v="0"/>
    <s v="N.A"/>
    <s v="0"/>
    <s v="0"/>
    <s v="31"/>
    <s v="31"/>
    <s v="Senior Technical Lead"/>
    <s v="Delivery-IN"/>
    <s v="Hyderabad"/>
    <s v="Telangana "/>
    <s v="50100568112557"/>
    <s v="HDFC BANK"/>
    <s v="206844"/>
    <s v="ADPPU6834N"/>
    <n v="86909"/>
    <n v="86909"/>
    <n v="0"/>
    <n v="34764"/>
    <n v="34764"/>
    <n v="0"/>
    <n v="9560"/>
    <n v="9560"/>
    <n v="0"/>
    <n v="0"/>
    <n v="0"/>
    <n v="0"/>
    <n v="10000"/>
    <n v="10000"/>
    <n v="0"/>
    <n v="2200"/>
    <n v="2200"/>
    <n v="0"/>
    <n v="63411"/>
    <n v="63411"/>
    <n v="0"/>
    <n v="0"/>
    <n v="0"/>
    <n v="0"/>
    <n v="0"/>
    <n v="0"/>
    <n v="0"/>
    <n v="0"/>
    <n v="0"/>
    <n v="0"/>
    <n v="0"/>
    <n v="0"/>
    <n v="0"/>
    <n v="0"/>
    <n v="206844"/>
    <n v="206844"/>
    <n v="2200"/>
    <n v="0"/>
    <n v="26186"/>
    <n v="200"/>
    <n v="0"/>
    <n v="0"/>
    <n v="10429"/>
    <n v="0"/>
    <n v="104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15"/>
    <n v="167829"/>
    <s v="0"/>
    <s v="0"/>
    <n v="167829"/>
  </r>
  <r>
    <s v="FS157"/>
    <s v="Yerva Sireesha"/>
    <x v="4"/>
    <s v="15-03-2021"/>
    <s v="N.A"/>
    <s v="2025-11"/>
    <s v="Success"/>
    <s v="N.A"/>
    <s v=""/>
    <s v="31"/>
    <s v="0"/>
    <s v="0"/>
    <s v="N.A"/>
    <s v="0"/>
    <s v="0"/>
    <s v="31"/>
    <s v="31"/>
    <s v="Lead -QA"/>
    <s v="Innovation-In"/>
    <s v="Hyderabad"/>
    <s v="Telangana "/>
    <s v="40092282965"/>
    <s v="STATE BANK OF INDIA"/>
    <s v="148742"/>
    <s v="AGBPY8707F"/>
    <n v="60217"/>
    <n v="60217"/>
    <n v="0"/>
    <n v="24087"/>
    <n v="24087"/>
    <n v="0"/>
    <n v="6624"/>
    <n v="6624"/>
    <n v="0"/>
    <n v="0"/>
    <n v="0"/>
    <n v="0"/>
    <n v="10000"/>
    <n v="10000"/>
    <n v="0"/>
    <n v="0"/>
    <n v="0"/>
    <n v="0"/>
    <n v="47814"/>
    <n v="47814"/>
    <n v="0"/>
    <n v="0"/>
    <n v="0"/>
    <n v="0"/>
    <n v="0"/>
    <n v="0"/>
    <n v="0"/>
    <n v="0"/>
    <n v="0"/>
    <n v="0"/>
    <n v="0"/>
    <n v="0"/>
    <n v="0"/>
    <n v="0"/>
    <n v="148742"/>
    <n v="148742"/>
    <n v="0"/>
    <n v="0"/>
    <n v="12305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05"/>
    <n v="134437"/>
    <s v="0"/>
    <s v="0"/>
    <n v="134437"/>
  </r>
  <r>
    <s v="FS158"/>
    <s v="Penmetsa Kumar Vijay Venkata Rama Raju"/>
    <x v="4"/>
    <s v="29-03-2021"/>
    <s v="N.A"/>
    <s v="2025-11"/>
    <s v="Success"/>
    <s v="N.A"/>
    <s v=""/>
    <s v="31"/>
    <s v="0"/>
    <s v="0"/>
    <s v="N.A"/>
    <s v="25"/>
    <s v="0"/>
    <s v="31"/>
    <s v="31"/>
    <s v="Senior Director"/>
    <s v="Delivery-IN"/>
    <s v="Hyderabad"/>
    <s v="Telangana "/>
    <s v="50100591447708"/>
    <s v="HDFC BANK"/>
    <s v="379581"/>
    <s v="AIJPP1671R"/>
    <n v="159488"/>
    <n v="159488"/>
    <n v="9845"/>
    <n v="63795"/>
    <n v="63795"/>
    <n v="3938"/>
    <n v="17544"/>
    <n v="17544"/>
    <n v="1083"/>
    <n v="0"/>
    <n v="0"/>
    <n v="0"/>
    <n v="10000"/>
    <n v="10000"/>
    <n v="0"/>
    <n v="2200"/>
    <n v="2200"/>
    <n v="0"/>
    <n v="126554"/>
    <n v="126554"/>
    <n v="8565"/>
    <n v="0"/>
    <n v="0"/>
    <n v="0"/>
    <n v="0"/>
    <n v="0"/>
    <n v="0"/>
    <n v="0"/>
    <n v="0"/>
    <n v="0"/>
    <n v="0"/>
    <n v="0"/>
    <n v="0"/>
    <n v="0"/>
    <n v="403012"/>
    <n v="403012"/>
    <n v="2200"/>
    <n v="0"/>
    <n v="81541"/>
    <n v="200"/>
    <n v="0"/>
    <n v="0"/>
    <n v="19139"/>
    <n v="1181"/>
    <n v="19139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261"/>
    <n v="298751"/>
    <s v="0"/>
    <s v="0"/>
    <n v="298751"/>
  </r>
  <r>
    <s v="FS161"/>
    <s v="Gangadhar Golli "/>
    <x v="4"/>
    <s v="03-05-2021"/>
    <s v="N.A"/>
    <s v="2025-11"/>
    <s v="Success"/>
    <s v="N.A"/>
    <s v=""/>
    <s v="31"/>
    <s v="0"/>
    <s v="0"/>
    <s v="N.A"/>
    <s v="25"/>
    <s v="0"/>
    <s v="31"/>
    <s v="31"/>
    <s v="Senior Data Architect"/>
    <s v="Delivery-IN"/>
    <s v="Hyderabad"/>
    <s v="Telangana "/>
    <s v="50100724450170"/>
    <s v="HDFC BANK"/>
    <s v="277053"/>
    <s v="AJVPG7531L"/>
    <n v="114683"/>
    <n v="114683"/>
    <n v="11812"/>
    <n v="45873"/>
    <n v="45873"/>
    <n v="4726"/>
    <n v="12615"/>
    <n v="12615"/>
    <n v="1300"/>
    <n v="0"/>
    <n v="0"/>
    <n v="0"/>
    <n v="10000"/>
    <n v="10000"/>
    <n v="0"/>
    <n v="2200"/>
    <n v="2200"/>
    <n v="0"/>
    <n v="87574"/>
    <n v="87574"/>
    <n v="10277"/>
    <n v="0"/>
    <n v="0"/>
    <n v="0"/>
    <n v="4108"/>
    <n v="0"/>
    <n v="0"/>
    <n v="0"/>
    <n v="0"/>
    <n v="0"/>
    <n v="0"/>
    <n v="0"/>
    <n v="0"/>
    <n v="4108"/>
    <n v="305168"/>
    <n v="305168"/>
    <n v="2200"/>
    <n v="0"/>
    <n v="48820"/>
    <n v="200"/>
    <n v="0"/>
    <n v="0"/>
    <n v="13762"/>
    <n v="1625"/>
    <n v="13762"/>
    <n v="1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n v="0"/>
    <n v="207"/>
    <n v="0"/>
    <n v="66607"/>
    <n v="238561"/>
    <s v="0"/>
    <s v="0"/>
    <n v="238561"/>
  </r>
  <r>
    <s v="FS163"/>
    <s v="Paramjeet Gujral "/>
    <x v="4"/>
    <s v="10-05-2021"/>
    <s v="N.A"/>
    <s v="2025-11"/>
    <s v="Success"/>
    <s v="N.A"/>
    <s v=""/>
    <s v="31"/>
    <s v="0"/>
    <s v="0"/>
    <s v="N.A"/>
    <s v="0"/>
    <s v="0"/>
    <s v="31"/>
    <s v="31"/>
    <s v="Senior Director -Program Management"/>
    <s v="Quality Engineering Practice"/>
    <s v="Hyderabad"/>
    <s v="Telangana "/>
    <s v="50100700637692"/>
    <s v="HDFC BANK"/>
    <s v="385941"/>
    <s v="AMTPG3548E"/>
    <n v="155096"/>
    <n v="155096"/>
    <n v="0"/>
    <n v="62039"/>
    <n v="62039"/>
    <n v="0"/>
    <n v="17061"/>
    <n v="17061"/>
    <n v="0"/>
    <n v="0"/>
    <n v="0"/>
    <n v="0"/>
    <n v="10000"/>
    <n v="10000"/>
    <n v="0"/>
    <n v="0"/>
    <n v="0"/>
    <n v="0"/>
    <n v="141745"/>
    <n v="141745"/>
    <n v="0"/>
    <n v="0"/>
    <n v="0"/>
    <n v="0"/>
    <n v="0"/>
    <n v="0"/>
    <n v="0"/>
    <n v="0"/>
    <n v="0"/>
    <n v="0"/>
    <n v="0"/>
    <n v="0"/>
    <n v="0"/>
    <n v="0"/>
    <n v="385941"/>
    <n v="385941"/>
    <n v="0"/>
    <n v="0"/>
    <n v="8206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64"/>
    <n v="301877"/>
    <s v="0"/>
    <s v="0"/>
    <n v="301877"/>
  </r>
  <r>
    <s v="FS165"/>
    <s v="Chandana Pothireddi "/>
    <x v="4"/>
    <s v="27-05-2021"/>
    <s v="N.A"/>
    <s v="2025-11"/>
    <s v="Success"/>
    <s v="N.A"/>
    <s v=""/>
    <s v="31"/>
    <s v="0"/>
    <s v="0"/>
    <s v="N.A"/>
    <s v="25"/>
    <s v="0"/>
    <s v="31"/>
    <s v="31"/>
    <s v="QA Manager"/>
    <s v="Delivery-IN"/>
    <s v="Hyderabad"/>
    <s v="Telangana "/>
    <s v="02771610133771"/>
    <s v="HDFC BANK"/>
    <s v="217560"/>
    <s v="AYMPP9397B"/>
    <n v="91411"/>
    <n v="91411"/>
    <n v="8162"/>
    <n v="36565"/>
    <n v="36565"/>
    <n v="3265"/>
    <n v="10055"/>
    <n v="10055"/>
    <n v="898"/>
    <n v="0"/>
    <n v="0"/>
    <n v="0"/>
    <n v="10000"/>
    <n v="10000"/>
    <n v="0"/>
    <n v="0"/>
    <n v="0"/>
    <n v="0"/>
    <n v="69529"/>
    <n v="69529"/>
    <n v="7102"/>
    <n v="0"/>
    <n v="0"/>
    <n v="0"/>
    <n v="0"/>
    <n v="0"/>
    <n v="0"/>
    <n v="0"/>
    <n v="0"/>
    <n v="0"/>
    <n v="0"/>
    <n v="0"/>
    <n v="0"/>
    <n v="0"/>
    <n v="236987"/>
    <n v="236987"/>
    <n v="0"/>
    <n v="0"/>
    <n v="29950"/>
    <n v="200"/>
    <n v="0"/>
    <n v="0"/>
    <n v="10969"/>
    <n v="979"/>
    <n v="10969"/>
    <n v="9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98"/>
    <n v="194889"/>
    <s v="0"/>
    <s v="0"/>
    <n v="194889"/>
  </r>
  <r>
    <s v="FS167"/>
    <s v="Kanakanti Kalpana"/>
    <x v="0"/>
    <s v="01-06-2021"/>
    <s v="N.A"/>
    <s v="2025-11"/>
    <s v="Success"/>
    <s v="N.A"/>
    <s v=""/>
    <s v="31"/>
    <s v="0"/>
    <s v="0"/>
    <s v="N.A"/>
    <s v="25"/>
    <s v="0"/>
    <s v="31"/>
    <s v="31"/>
    <s v="Senior Executive- Talent Acquisition"/>
    <s v="Recruitment-IN"/>
    <s v="Hyderabad"/>
    <s v="Telangana "/>
    <s v="50100246324325"/>
    <s v="HDFC BANK"/>
    <s v="79044"/>
    <s v="EJUPK6859Q"/>
    <n v="32338"/>
    <n v="32338"/>
    <n v="2888"/>
    <n v="12935"/>
    <n v="12935"/>
    <n v="1155"/>
    <n v="3557"/>
    <n v="3557"/>
    <n v="318"/>
    <n v="0"/>
    <n v="0"/>
    <n v="0"/>
    <n v="8084"/>
    <n v="8084"/>
    <n v="-1597"/>
    <n v="0"/>
    <n v="0"/>
    <n v="0"/>
    <n v="22130"/>
    <n v="22130"/>
    <n v="4455"/>
    <n v="0"/>
    <n v="0"/>
    <n v="0"/>
    <n v="0"/>
    <n v="0"/>
    <n v="0"/>
    <n v="0"/>
    <n v="0"/>
    <n v="0"/>
    <n v="0"/>
    <n v="0"/>
    <n v="0"/>
    <n v="0"/>
    <n v="86263"/>
    <n v="86263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4263"/>
    <s v="0"/>
    <s v="0"/>
    <n v="84263"/>
  </r>
  <r>
    <s v="FS169"/>
    <s v="Mallikarjuna Rao Pagadala "/>
    <x v="4"/>
    <s v="01-07-2021"/>
    <s v="N.A"/>
    <s v="2025-11"/>
    <s v="Success"/>
    <s v="N.A"/>
    <s v=""/>
    <s v="31"/>
    <s v="0"/>
    <s v="0"/>
    <s v="N.A"/>
    <s v="25"/>
    <s v="0"/>
    <s v="31"/>
    <s v="31"/>
    <s v="Software Engineer"/>
    <s v="Delivery-IN"/>
    <s v="Hyderabad"/>
    <s v="Telangana "/>
    <s v="50100568112392"/>
    <s v="HDFC BANK"/>
    <s v="50290"/>
    <s v="AZBPP1346C"/>
    <n v="20836"/>
    <n v="20836"/>
    <n v="1286"/>
    <n v="8335"/>
    <n v="8335"/>
    <n v="515"/>
    <n v="2292"/>
    <n v="2292"/>
    <n v="142"/>
    <n v="0"/>
    <n v="0"/>
    <n v="0"/>
    <n v="5209"/>
    <n v="5209"/>
    <n v="322"/>
    <n v="0"/>
    <n v="0"/>
    <n v="0"/>
    <n v="13618"/>
    <n v="13618"/>
    <n v="951"/>
    <n v="0"/>
    <n v="0"/>
    <n v="0"/>
    <n v="0"/>
    <n v="0"/>
    <n v="0"/>
    <n v="0"/>
    <n v="0"/>
    <n v="0"/>
    <n v="0"/>
    <n v="0"/>
    <n v="0"/>
    <n v="0"/>
    <n v="53506"/>
    <n v="53506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51506"/>
    <s v="0"/>
    <s v="0"/>
    <n v="51506"/>
  </r>
  <r>
    <s v="FS179"/>
    <s v="Srikanth Kantha Reddy "/>
    <x v="6"/>
    <s v="01-09-2021"/>
    <s v="N.A"/>
    <s v="2025-11"/>
    <s v="Success"/>
    <s v="N.A"/>
    <s v=""/>
    <s v="31"/>
    <s v="0"/>
    <s v="0"/>
    <s v="N.A"/>
    <s v="0"/>
    <s v="0"/>
    <s v="31"/>
    <s v="31"/>
    <s v="Associate Director -Inside Sales"/>
    <s v="Business Development"/>
    <s v="Hyderabad"/>
    <s v="Telangana "/>
    <s v="99919989312493"/>
    <s v="HDFC BANK"/>
    <s v="238165"/>
    <s v="AVBPK5746R"/>
    <n v="87186"/>
    <n v="87186"/>
    <n v="0"/>
    <n v="34874"/>
    <n v="34874"/>
    <n v="0"/>
    <n v="9591"/>
    <n v="9591"/>
    <n v="0"/>
    <n v="0"/>
    <n v="0"/>
    <n v="0"/>
    <n v="10000"/>
    <n v="10000"/>
    <n v="0"/>
    <n v="2200"/>
    <n v="2200"/>
    <n v="0"/>
    <n v="72314"/>
    <n v="72314"/>
    <n v="0"/>
    <n v="0"/>
    <n v="0"/>
    <n v="22000"/>
    <n v="0"/>
    <n v="0"/>
    <n v="0"/>
    <n v="0"/>
    <n v="0"/>
    <n v="0"/>
    <n v="0"/>
    <n v="0"/>
    <n v="0"/>
    <n v="22000"/>
    <n v="238165"/>
    <n v="238165"/>
    <n v="2200"/>
    <n v="0"/>
    <n v="34401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601"/>
    <n v="199564"/>
    <s v="0"/>
    <s v="0"/>
    <n v="199564"/>
  </r>
  <r>
    <s v="FS181"/>
    <s v="Bashyam Roopa Chandra"/>
    <x v="0"/>
    <s v="20-09-2021"/>
    <s v="N.A"/>
    <s v="2025-11"/>
    <s v="Success"/>
    <s v="N.A"/>
    <s v=""/>
    <s v="31"/>
    <s v="0"/>
    <s v="0"/>
    <s v="N.A"/>
    <s v="0"/>
    <s v="0"/>
    <s v="31"/>
    <s v="31"/>
    <s v="Senior Executive- Talent Acquisition"/>
    <s v="Recruitment-IN"/>
    <s v="Hyderabad"/>
    <s v="Telangana "/>
    <s v="40464576590"/>
    <s v="STATE BANK OF INDIA"/>
    <s v="59767"/>
    <s v="CABPR4794P"/>
    <n v="24627"/>
    <n v="24627"/>
    <n v="0"/>
    <n v="9851"/>
    <n v="9851"/>
    <n v="0"/>
    <n v="2709"/>
    <n v="2709"/>
    <n v="0"/>
    <n v="0"/>
    <n v="0"/>
    <n v="0"/>
    <n v="6157"/>
    <n v="6157"/>
    <n v="0"/>
    <n v="0"/>
    <n v="0"/>
    <n v="0"/>
    <n v="16423"/>
    <n v="16423"/>
    <n v="0"/>
    <n v="0"/>
    <n v="0"/>
    <n v="0"/>
    <n v="0"/>
    <n v="0"/>
    <n v="0"/>
    <n v="0"/>
    <n v="0"/>
    <n v="0"/>
    <n v="0"/>
    <n v="0"/>
    <n v="0"/>
    <n v="0"/>
    <n v="59767"/>
    <n v="5976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57767"/>
    <s v="0"/>
    <s v="0"/>
    <n v="57767"/>
  </r>
  <r>
    <s v="FS182"/>
    <s v="Mahesh Guntuka "/>
    <x v="5"/>
    <s v="01-10-2021"/>
    <s v="N.A"/>
    <s v="2025-11"/>
    <s v="Success"/>
    <s v="N.A"/>
    <s v=""/>
    <s v="31"/>
    <s v="0"/>
    <s v="0"/>
    <s v="N.A"/>
    <s v="0"/>
    <s v="0"/>
    <s v="31"/>
    <s v="31"/>
    <s v="Associate Architect"/>
    <s v="Delivery-IN"/>
    <s v="Hyderabad"/>
    <s v="Telangana "/>
    <s v="19821000005651"/>
    <s v="HDFC BANK"/>
    <s v="313135"/>
    <s v="AQIPG6162B"/>
    <n v="125974"/>
    <n v="125974"/>
    <n v="0"/>
    <n v="50390"/>
    <n v="50390"/>
    <n v="0"/>
    <n v="13857"/>
    <n v="13857"/>
    <n v="0"/>
    <n v="0"/>
    <n v="0"/>
    <n v="0"/>
    <n v="10000"/>
    <n v="10000"/>
    <n v="0"/>
    <n v="0"/>
    <n v="0"/>
    <n v="0"/>
    <n v="112914"/>
    <n v="112914"/>
    <n v="0"/>
    <n v="0"/>
    <n v="0"/>
    <n v="0"/>
    <n v="0"/>
    <n v="0"/>
    <n v="0"/>
    <n v="0"/>
    <n v="0"/>
    <n v="0"/>
    <n v="0"/>
    <n v="0"/>
    <n v="0"/>
    <n v="0"/>
    <n v="313135"/>
    <n v="313135"/>
    <n v="0"/>
    <n v="0"/>
    <n v="5934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48"/>
    <n v="251787"/>
    <s v="0"/>
    <s v="0"/>
    <n v="251787"/>
  </r>
  <r>
    <s v="FS187"/>
    <s v="Gouthami Lingamaneni "/>
    <x v="4"/>
    <s v="08-11-2021"/>
    <s v="N.A"/>
    <s v="2025-11"/>
    <s v="Success"/>
    <s v="N.A"/>
    <s v=""/>
    <s v="31"/>
    <s v="0"/>
    <s v="0"/>
    <s v="N.A"/>
    <s v="25"/>
    <s v="0"/>
    <s v="31"/>
    <s v="31"/>
    <s v="Lead -QA"/>
    <s v="Innovation-In"/>
    <s v="Hyderabad"/>
    <s v="Telangana "/>
    <s v="50100094847907"/>
    <s v="HDFC BANK"/>
    <s v="117040"/>
    <s v="ALCPL5884E"/>
    <n v="49176"/>
    <n v="49176"/>
    <n v="5345"/>
    <n v="19671"/>
    <n v="19671"/>
    <n v="2138"/>
    <n v="5409"/>
    <n v="5409"/>
    <n v="588"/>
    <n v="0"/>
    <n v="0"/>
    <n v="0"/>
    <n v="10000"/>
    <n v="10000"/>
    <n v="0"/>
    <n v="0"/>
    <n v="0"/>
    <n v="0"/>
    <n v="32784"/>
    <n v="32784"/>
    <n v="4651"/>
    <n v="0"/>
    <n v="0"/>
    <n v="0"/>
    <n v="0"/>
    <n v="0"/>
    <n v="0"/>
    <n v="0"/>
    <n v="0"/>
    <n v="0"/>
    <n v="0"/>
    <n v="0"/>
    <n v="0"/>
    <n v="0"/>
    <n v="129762"/>
    <n v="129762"/>
    <n v="0"/>
    <n v="0"/>
    <n v="7351"/>
    <n v="200"/>
    <n v="0"/>
    <n v="0"/>
    <n v="5901"/>
    <n v="642"/>
    <n v="5901"/>
    <n v="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94"/>
    <n v="115668"/>
    <s v="0"/>
    <s v="0"/>
    <n v="115668"/>
  </r>
  <r>
    <s v="FS193"/>
    <s v="Anirudh Nampally "/>
    <x v="5"/>
    <s v="06-12-2021"/>
    <s v="N.A"/>
    <s v="2025-11"/>
    <s v="Success"/>
    <s v="N.A"/>
    <s v=""/>
    <s v="31"/>
    <s v="0"/>
    <s v="0"/>
    <s v="N.A"/>
    <s v="0"/>
    <s v="0"/>
    <s v="31"/>
    <s v="31"/>
    <s v="Architect"/>
    <s v="Delivery-IN"/>
    <s v="Hyderabad"/>
    <s v="Telangana "/>
    <s v="50100561253863"/>
    <s v="HDFC BANK"/>
    <s v="304077"/>
    <s v="AKAPN1591M"/>
    <n v="127764"/>
    <n v="127764"/>
    <n v="0"/>
    <n v="51105"/>
    <n v="51105"/>
    <n v="0"/>
    <n v="14054"/>
    <n v="14054"/>
    <n v="0"/>
    <n v="0"/>
    <n v="0"/>
    <n v="0"/>
    <n v="10000"/>
    <n v="10000"/>
    <n v="0"/>
    <n v="2200"/>
    <n v="2200"/>
    <n v="0"/>
    <n v="98954"/>
    <n v="98954"/>
    <n v="0"/>
    <n v="0"/>
    <n v="0"/>
    <n v="0"/>
    <n v="0"/>
    <n v="0"/>
    <n v="0"/>
    <n v="0"/>
    <n v="0"/>
    <n v="0"/>
    <n v="0"/>
    <n v="0"/>
    <n v="0"/>
    <n v="0"/>
    <n v="304077"/>
    <n v="304077"/>
    <n v="2200"/>
    <n v="0"/>
    <n v="56522"/>
    <n v="200"/>
    <n v="0"/>
    <n v="0"/>
    <n v="15332"/>
    <n v="0"/>
    <n v="15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254"/>
    <n v="229823"/>
    <s v="0"/>
    <s v="0"/>
    <n v="229823"/>
  </r>
  <r>
    <s v="FS199"/>
    <s v="Ayesha Siddiqa "/>
    <x v="5"/>
    <s v="01-01-2022"/>
    <s v="N.A"/>
    <s v="2025-11"/>
    <s v="Success"/>
    <s v="N.A"/>
    <s v=""/>
    <s v="31"/>
    <s v="0"/>
    <s v="0"/>
    <s v="N.A"/>
    <s v="0"/>
    <s v="0"/>
    <s v="31"/>
    <s v="31"/>
    <s v="Data Engineer - I"/>
    <s v="Delivery-IN"/>
    <s v="Hyderabad"/>
    <s v="Telangana "/>
    <s v="40448681617"/>
    <s v="STATE BANK OF INDIA"/>
    <s v="79350"/>
    <s v="DHDPA3528L"/>
    <n v="33341"/>
    <n v="33341"/>
    <n v="0"/>
    <n v="13336"/>
    <n v="13336"/>
    <n v="0"/>
    <n v="3667"/>
    <n v="3667"/>
    <n v="0"/>
    <n v="0"/>
    <n v="0"/>
    <n v="0"/>
    <n v="8335"/>
    <n v="8335"/>
    <n v="0"/>
    <n v="0"/>
    <n v="0"/>
    <n v="0"/>
    <n v="20671"/>
    <n v="20671"/>
    <n v="0"/>
    <n v="0"/>
    <n v="0"/>
    <n v="0"/>
    <n v="0"/>
    <n v="0"/>
    <n v="0"/>
    <n v="0"/>
    <n v="0"/>
    <n v="0"/>
    <n v="0"/>
    <n v="0"/>
    <n v="0"/>
    <n v="0"/>
    <n v="79350"/>
    <n v="79350"/>
    <n v="0"/>
    <n v="0"/>
    <n v="0"/>
    <n v="200"/>
    <n v="0"/>
    <n v="0"/>
    <n v="4001"/>
    <n v="0"/>
    <n v="4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1"/>
    <n v="75149"/>
    <s v="0"/>
    <s v="0"/>
    <n v="75149"/>
  </r>
  <r>
    <s v="FS200"/>
    <s v="Kondapalli Divya Sree"/>
    <x v="4"/>
    <s v="01-01-2022"/>
    <s v="N.A"/>
    <s v="2025-11"/>
    <s v="Success"/>
    <s v="N.A"/>
    <s v=""/>
    <s v="31"/>
    <s v="0"/>
    <s v="0"/>
    <s v="N.A"/>
    <s v="0"/>
    <s v="0"/>
    <s v="31"/>
    <s v="31"/>
    <s v="Software development Engineer in test II (SDET-II)"/>
    <s v="Delivery-IN"/>
    <s v="Hyderabad"/>
    <s v="Telangana "/>
    <s v="50100743219381"/>
    <s v="HDFC BANK"/>
    <s v="90480"/>
    <s v="GVCPK3707B"/>
    <n v="38017"/>
    <n v="38017"/>
    <n v="0"/>
    <n v="15207"/>
    <n v="15207"/>
    <n v="0"/>
    <n v="4182"/>
    <n v="4182"/>
    <n v="0"/>
    <n v="0"/>
    <n v="0"/>
    <n v="0"/>
    <n v="9504"/>
    <n v="9504"/>
    <n v="0"/>
    <n v="0"/>
    <n v="0"/>
    <n v="0"/>
    <n v="23570"/>
    <n v="23570"/>
    <n v="0"/>
    <n v="0"/>
    <n v="0"/>
    <n v="0"/>
    <n v="0"/>
    <n v="0"/>
    <n v="0"/>
    <n v="0"/>
    <n v="0"/>
    <n v="0"/>
    <n v="0"/>
    <n v="0"/>
    <n v="0"/>
    <n v="0"/>
    <n v="90480"/>
    <n v="90480"/>
    <n v="0"/>
    <n v="0"/>
    <n v="0"/>
    <n v="200"/>
    <n v="0"/>
    <n v="0"/>
    <n v="4562"/>
    <n v="0"/>
    <n v="4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62"/>
    <n v="85718"/>
    <s v="0"/>
    <s v="0"/>
    <n v="85718"/>
  </r>
  <r>
    <s v="FS201"/>
    <s v="Brunda Desam "/>
    <x v="4"/>
    <s v="01-01-2022"/>
    <s v="N.A"/>
    <s v="2025-11"/>
    <s v="Success"/>
    <s v="N.A"/>
    <s v=""/>
    <s v="31"/>
    <s v="0"/>
    <s v="0"/>
    <s v="N.A"/>
    <s v="0"/>
    <s v="0"/>
    <s v="31"/>
    <s v="31"/>
    <s v="Software development Engineer in test II (SDET-II)"/>
    <s v="Delivery-IN"/>
    <s v="Hyderabad"/>
    <s v="Telangana "/>
    <s v="50100558314184"/>
    <s v="HDFC BANK"/>
    <s v="90480"/>
    <s v="FQTPB3520G"/>
    <n v="38017"/>
    <n v="38017"/>
    <n v="0"/>
    <n v="15207"/>
    <n v="15207"/>
    <n v="0"/>
    <n v="4182"/>
    <n v="4182"/>
    <n v="0"/>
    <n v="0"/>
    <n v="0"/>
    <n v="0"/>
    <n v="9504"/>
    <n v="9504"/>
    <n v="0"/>
    <n v="0"/>
    <n v="0"/>
    <n v="0"/>
    <n v="23570"/>
    <n v="23570"/>
    <n v="0"/>
    <n v="0"/>
    <n v="0"/>
    <n v="0"/>
    <n v="0"/>
    <n v="0"/>
    <n v="0"/>
    <n v="0"/>
    <n v="0"/>
    <n v="0"/>
    <n v="0"/>
    <n v="0"/>
    <n v="0"/>
    <n v="0"/>
    <n v="90480"/>
    <n v="90480"/>
    <n v="0"/>
    <n v="0"/>
    <n v="0"/>
    <n v="200"/>
    <n v="0"/>
    <n v="0"/>
    <n v="4562"/>
    <n v="0"/>
    <n v="4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62"/>
    <n v="85718"/>
    <s v="0"/>
    <s v="0"/>
    <n v="85718"/>
  </r>
  <r>
    <s v="FS212"/>
    <s v="Kumaraswamy Sirikonda "/>
    <x v="5"/>
    <s v="24-01-2022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50100168094937"/>
    <s v="HDFC BANK"/>
    <s v="223972"/>
    <s v="GWBPS4603C"/>
    <n v="90309"/>
    <n v="90309"/>
    <n v="0"/>
    <n v="36123"/>
    <n v="36123"/>
    <n v="0"/>
    <n v="9934"/>
    <n v="9934"/>
    <n v="0"/>
    <n v="0"/>
    <n v="0"/>
    <n v="0"/>
    <n v="10000"/>
    <n v="10000"/>
    <n v="0"/>
    <n v="2200"/>
    <n v="2200"/>
    <n v="0"/>
    <n v="75406"/>
    <n v="75406"/>
    <n v="0"/>
    <n v="0"/>
    <n v="0"/>
    <n v="0"/>
    <n v="0"/>
    <n v="0"/>
    <n v="0"/>
    <n v="0"/>
    <n v="0"/>
    <n v="0"/>
    <n v="0"/>
    <n v="0"/>
    <n v="0"/>
    <n v="0"/>
    <n v="223972"/>
    <n v="223972"/>
    <n v="2200"/>
    <n v="0"/>
    <n v="3152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29"/>
    <n v="188243"/>
    <s v="0"/>
    <s v="0"/>
    <n v="188243"/>
  </r>
  <r>
    <s v="FS220"/>
    <s v="Errabelli Krishnachaithanya"/>
    <x v="0"/>
    <s v="07-02-2022"/>
    <s v="N.A"/>
    <s v="2025-11"/>
    <s v="Success"/>
    <s v="N.A"/>
    <s v=""/>
    <s v="31"/>
    <s v="0"/>
    <s v="0"/>
    <s v="N.A"/>
    <s v="25"/>
    <s v="0"/>
    <s v="31"/>
    <s v="31"/>
    <s v="Senior Executive- Talent Acquisition"/>
    <s v="Recruitment-IN"/>
    <s v="Hyderabad"/>
    <s v="Telangana "/>
    <s v="50100439139879"/>
    <s v="HDFC BANK"/>
    <s v="57168"/>
    <s v="JEZPK2785A"/>
    <n v="23587"/>
    <n v="23587"/>
    <n v="1456"/>
    <n v="9435"/>
    <n v="9435"/>
    <n v="583"/>
    <n v="2595"/>
    <n v="2595"/>
    <n v="161"/>
    <n v="0"/>
    <n v="0"/>
    <n v="0"/>
    <n v="5897"/>
    <n v="5897"/>
    <n v="-3419"/>
    <n v="0"/>
    <n v="0"/>
    <n v="0"/>
    <n v="15654"/>
    <n v="15654"/>
    <n v="4860"/>
    <n v="0"/>
    <n v="0"/>
    <n v="0"/>
    <n v="0"/>
    <n v="0"/>
    <n v="0"/>
    <n v="0"/>
    <n v="0"/>
    <n v="0"/>
    <n v="0"/>
    <n v="0"/>
    <n v="0"/>
    <n v="0"/>
    <n v="60809"/>
    <n v="60809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58809"/>
    <s v="0"/>
    <s v="0"/>
    <n v="58809"/>
  </r>
  <r>
    <s v="FS253"/>
    <s v="Nidhi Chopra"/>
    <x v="1"/>
    <s v="25-04-2022"/>
    <s v="N.A"/>
    <s v="2025-11"/>
    <s v="Success"/>
    <s v="N.A"/>
    <s v="Hold Salary"/>
    <s v="31"/>
    <s v="0"/>
    <s v="0"/>
    <s v="N.A"/>
    <s v="0"/>
    <s v="0"/>
    <s v="31"/>
    <s v="31"/>
    <s v="Associate Manager -HR"/>
    <s v="HR Ops-IN"/>
    <s v="Hyderabad"/>
    <s v="Telangana "/>
    <s v="40970319820"/>
    <s v="STATE BANK OF INDIA"/>
    <s v="69536"/>
    <s v="ADFPC7783A"/>
    <n v="29217"/>
    <n v="29217"/>
    <n v="0"/>
    <n v="11687"/>
    <n v="11687"/>
    <n v="0"/>
    <n v="3214"/>
    <n v="3214"/>
    <n v="0"/>
    <n v="0"/>
    <n v="0"/>
    <n v="0"/>
    <n v="7304"/>
    <n v="7304"/>
    <n v="0"/>
    <n v="0"/>
    <n v="0"/>
    <n v="0"/>
    <n v="18114"/>
    <n v="18114"/>
    <n v="0"/>
    <n v="0"/>
    <n v="0"/>
    <n v="0"/>
    <n v="0"/>
    <n v="0"/>
    <n v="0"/>
    <n v="0"/>
    <n v="0"/>
    <n v="0"/>
    <n v="0"/>
    <n v="0"/>
    <n v="0"/>
    <n v="0"/>
    <n v="69536"/>
    <n v="69536"/>
    <n v="0"/>
    <n v="0"/>
    <n v="0"/>
    <n v="200"/>
    <n v="0"/>
    <n v="0"/>
    <n v="3506"/>
    <n v="0"/>
    <n v="3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6"/>
    <n v="65830"/>
    <s v="0"/>
    <s v="0"/>
    <n v="65830"/>
  </r>
  <r>
    <s v="FS265"/>
    <s v="Pushpa Bantroth "/>
    <x v="2"/>
    <s v="02-05-2022"/>
    <s v="N.A"/>
    <s v="2025-11"/>
    <s v="Success"/>
    <s v="N.A"/>
    <s v=""/>
    <s v="31"/>
    <s v="0"/>
    <s v="0"/>
    <s v="N.A"/>
    <s v="0"/>
    <s v="0"/>
    <s v="31"/>
    <s v="31"/>
    <s v="Admin"/>
    <s v="Office Operation-IN"/>
    <s v="Hyderabad"/>
    <s v="Telangana "/>
    <s v="50100561253811"/>
    <s v="HDFC BANK"/>
    <s v="23500"/>
    <s v="DHAPP3519R"/>
    <n v="10120"/>
    <n v="10120"/>
    <n v="0"/>
    <n v="4048"/>
    <n v="4048"/>
    <n v="0"/>
    <n v="1113"/>
    <n v="1113"/>
    <n v="0"/>
    <n v="0"/>
    <n v="0"/>
    <n v="0"/>
    <n v="2530"/>
    <n v="2530"/>
    <n v="0"/>
    <n v="0"/>
    <n v="0"/>
    <n v="0"/>
    <n v="5689"/>
    <n v="5689"/>
    <n v="0"/>
    <n v="0"/>
    <n v="0"/>
    <n v="0"/>
    <n v="0"/>
    <n v="0"/>
    <n v="0"/>
    <n v="0"/>
    <n v="0"/>
    <n v="0"/>
    <n v="0"/>
    <n v="0"/>
    <n v="0"/>
    <n v="0"/>
    <n v="23500"/>
    <n v="235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1500"/>
    <s v="0"/>
    <s v="0"/>
    <n v="21500"/>
  </r>
  <r>
    <s v="FS266"/>
    <s v="Naresh Laxmipurpu "/>
    <x v="2"/>
    <s v="02-05-2022"/>
    <s v="N.A"/>
    <s v="2025-11"/>
    <s v="Success"/>
    <s v="N.A"/>
    <s v=""/>
    <s v="31"/>
    <s v="0"/>
    <s v="0"/>
    <s v="N.A"/>
    <s v="0"/>
    <s v="0"/>
    <s v="31"/>
    <s v="31"/>
    <s v="Admin"/>
    <s v="Office Operation-IN"/>
    <s v="Hyderabad"/>
    <s v="Telangana "/>
    <s v="50100456735286"/>
    <s v="HDFC BANK"/>
    <s v="39600"/>
    <s v="AIUPL5725D"/>
    <n v="16560"/>
    <n v="16560"/>
    <n v="0"/>
    <n v="6624"/>
    <n v="6624"/>
    <n v="0"/>
    <n v="1822"/>
    <n v="1822"/>
    <n v="0"/>
    <n v="0"/>
    <n v="0"/>
    <n v="0"/>
    <n v="4140"/>
    <n v="4140"/>
    <n v="0"/>
    <n v="0"/>
    <n v="0"/>
    <n v="0"/>
    <n v="10454"/>
    <n v="10454"/>
    <n v="0"/>
    <n v="0"/>
    <n v="0"/>
    <n v="0"/>
    <n v="0"/>
    <n v="0"/>
    <n v="0"/>
    <n v="0"/>
    <n v="0"/>
    <n v="0"/>
    <n v="0"/>
    <n v="0"/>
    <n v="0"/>
    <n v="0"/>
    <n v="39600"/>
    <n v="396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7600"/>
    <s v="0"/>
    <s v="0"/>
    <n v="37600"/>
  </r>
  <r>
    <s v="FS278"/>
    <s v="Ravikiran Dumpa "/>
    <x v="7"/>
    <s v="30-06-2022"/>
    <s v="N.A"/>
    <s v="2025-11"/>
    <s v="Success"/>
    <s v="N.A"/>
    <s v=""/>
    <s v="31"/>
    <s v="0"/>
    <s v="0"/>
    <s v="N.A"/>
    <s v="25"/>
    <s v="0"/>
    <s v="31"/>
    <s v="31"/>
    <s v="Associate Architect"/>
    <s v="Analytics Practice"/>
    <s v="Hyderabad"/>
    <s v="Telangana "/>
    <s v="30574986685"/>
    <s v="STATE BANK OF INDIA"/>
    <s v="357730"/>
    <s v="AWYPD1976C"/>
    <n v="143812"/>
    <n v="143812"/>
    <n v="10895"/>
    <n v="57525"/>
    <n v="57525"/>
    <n v="4358"/>
    <n v="15819"/>
    <n v="15819"/>
    <n v="1198"/>
    <n v="0"/>
    <n v="0"/>
    <n v="0"/>
    <n v="10000"/>
    <n v="10000"/>
    <n v="0"/>
    <n v="2200"/>
    <n v="2200"/>
    <n v="0"/>
    <n v="128374"/>
    <n v="128374"/>
    <n v="10785"/>
    <n v="0"/>
    <n v="0"/>
    <n v="0"/>
    <n v="0"/>
    <n v="0"/>
    <n v="0"/>
    <n v="0"/>
    <n v="0"/>
    <n v="0"/>
    <n v="0"/>
    <n v="0"/>
    <n v="0"/>
    <n v="0"/>
    <n v="384966"/>
    <n v="384966"/>
    <n v="2200"/>
    <n v="0"/>
    <n v="74961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161"/>
    <n v="305805"/>
    <s v="0"/>
    <s v="0"/>
    <n v="305805"/>
  </r>
  <r>
    <s v="FS285"/>
    <s v="Gayathri Boggula "/>
    <x v="8"/>
    <s v="14-07-2022"/>
    <s v="N.A"/>
    <s v="2025-11"/>
    <s v="Success"/>
    <s v="N.A"/>
    <s v=""/>
    <s v="31"/>
    <s v="0"/>
    <s v="0"/>
    <s v="N.A"/>
    <s v="0"/>
    <s v="0"/>
    <s v="31"/>
    <s v="31"/>
    <s v="Senior Developer"/>
    <s v="Staffing"/>
    <s v="Hyderabad"/>
    <s v="Telangana "/>
    <s v="50100392811989"/>
    <s v="HDFC BANK"/>
    <s v="48251"/>
    <s v="BJBPG5470K"/>
    <n v="21450"/>
    <n v="21450"/>
    <n v="0"/>
    <n v="8580"/>
    <n v="8580"/>
    <n v="0"/>
    <n v="2360"/>
    <n v="2360"/>
    <n v="0"/>
    <n v="0"/>
    <n v="0"/>
    <n v="0"/>
    <n v="5363"/>
    <n v="5363"/>
    <n v="0"/>
    <n v="0"/>
    <n v="0"/>
    <n v="0"/>
    <n v="10498"/>
    <n v="10498"/>
    <n v="0"/>
    <n v="0"/>
    <n v="0"/>
    <n v="0"/>
    <n v="0"/>
    <n v="0"/>
    <n v="0"/>
    <n v="0"/>
    <n v="0"/>
    <n v="0"/>
    <n v="0"/>
    <n v="0"/>
    <n v="0"/>
    <n v="0"/>
    <n v="48251"/>
    <n v="48251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6251"/>
    <s v="0"/>
    <s v="0"/>
    <n v="46251"/>
  </r>
  <r>
    <s v="FS286"/>
    <s v="Jayprakash Narani "/>
    <x v="8"/>
    <s v="14-07-2022"/>
    <s v="N.A"/>
    <s v="2025-11"/>
    <s v="Success"/>
    <s v="N.A"/>
    <s v=""/>
    <s v="31"/>
    <s v="0"/>
    <s v="0"/>
    <s v="N.A"/>
    <s v="0"/>
    <s v="0"/>
    <s v="31"/>
    <s v="31"/>
    <s v="Senior Developer"/>
    <s v="Product Engineering"/>
    <s v="Hyderabad"/>
    <s v="Telangana "/>
    <s v="20040643229"/>
    <s v="STATE BANK OF INDIA"/>
    <s v="70851"/>
    <s v="AFOPN2404E"/>
    <n v="30667"/>
    <n v="30667"/>
    <n v="0"/>
    <n v="12267"/>
    <n v="12267"/>
    <n v="0"/>
    <n v="3373"/>
    <n v="3373"/>
    <n v="0"/>
    <n v="0"/>
    <n v="0"/>
    <n v="0"/>
    <n v="7667"/>
    <n v="7667"/>
    <n v="0"/>
    <n v="0"/>
    <n v="0"/>
    <n v="0"/>
    <n v="16877"/>
    <n v="16877"/>
    <n v="0"/>
    <n v="0"/>
    <n v="0"/>
    <n v="0"/>
    <n v="0"/>
    <n v="0"/>
    <n v="0"/>
    <n v="0"/>
    <n v="0"/>
    <n v="0"/>
    <n v="0"/>
    <n v="0"/>
    <n v="0"/>
    <n v="0"/>
    <n v="70851"/>
    <n v="70851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8851"/>
    <s v="0"/>
    <s v="0"/>
    <n v="68851"/>
  </r>
  <r>
    <s v="FS291"/>
    <s v="Sai Prasad Chikoti "/>
    <x v="5"/>
    <s v="03-08-2022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50100202943146"/>
    <s v="HDFC BANK"/>
    <s v="175039"/>
    <s v="BOFPC4956M"/>
    <n v="73546"/>
    <n v="73546"/>
    <n v="0"/>
    <n v="29418"/>
    <n v="29418"/>
    <n v="0"/>
    <n v="8090"/>
    <n v="8090"/>
    <n v="0"/>
    <n v="0"/>
    <n v="0"/>
    <n v="0"/>
    <n v="10000"/>
    <n v="10000"/>
    <n v="0"/>
    <n v="2200"/>
    <n v="2200"/>
    <n v="0"/>
    <n v="51785"/>
    <n v="51785"/>
    <n v="0"/>
    <n v="0"/>
    <n v="0"/>
    <n v="0"/>
    <n v="0"/>
    <n v="0"/>
    <n v="0"/>
    <n v="0"/>
    <n v="0"/>
    <n v="0"/>
    <n v="0"/>
    <n v="0"/>
    <n v="0"/>
    <n v="0"/>
    <n v="175039"/>
    <n v="175039"/>
    <n v="2200"/>
    <n v="0"/>
    <n v="23043"/>
    <n v="200"/>
    <n v="0"/>
    <n v="0"/>
    <n v="8826"/>
    <n v="0"/>
    <n v="8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269"/>
    <n v="140770"/>
    <s v="0"/>
    <s v="0"/>
    <n v="140770"/>
  </r>
  <r>
    <s v="FS293"/>
    <s v="Raza Abbas"/>
    <x v="4"/>
    <s v="04-08-2022"/>
    <s v="N.A"/>
    <s v="2025-11"/>
    <s v="Success"/>
    <s v="N.A"/>
    <s v=""/>
    <s v="31"/>
    <s v="0"/>
    <s v="0"/>
    <s v="N.A"/>
    <s v="0"/>
    <s v="0"/>
    <s v="31"/>
    <s v="31"/>
    <s v="QA Manager"/>
    <s v="Delivery-IN"/>
    <s v="Hyderabad"/>
    <s v="Telangana "/>
    <s v="11367767800"/>
    <s v="STATE BANK OF INDIA"/>
    <s v="164700"/>
    <s v="AGBPA9541R"/>
    <n v="66600"/>
    <n v="66600"/>
    <n v="0"/>
    <n v="26640"/>
    <n v="26640"/>
    <n v="0"/>
    <n v="7326"/>
    <n v="7326"/>
    <n v="0"/>
    <n v="0"/>
    <n v="0"/>
    <n v="0"/>
    <n v="10000"/>
    <n v="10000"/>
    <n v="0"/>
    <n v="0"/>
    <n v="0"/>
    <n v="0"/>
    <n v="54134"/>
    <n v="54134"/>
    <n v="0"/>
    <n v="0"/>
    <n v="0"/>
    <n v="0"/>
    <n v="0"/>
    <n v="0"/>
    <n v="0"/>
    <n v="0"/>
    <n v="0"/>
    <n v="0"/>
    <n v="0"/>
    <n v="0"/>
    <n v="0"/>
    <n v="0"/>
    <n v="164700"/>
    <n v="164700"/>
    <n v="0"/>
    <n v="0"/>
    <n v="1562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24"/>
    <n v="147076"/>
    <s v="0"/>
    <s v="0"/>
    <n v="147076"/>
  </r>
  <r>
    <s v="FS300"/>
    <s v="Harshil Goolla "/>
    <x v="9"/>
    <s v="18-08-2022"/>
    <s v="N.A"/>
    <s v="2025-11"/>
    <s v="Success"/>
    <s v="N.A"/>
    <s v=""/>
    <s v="31"/>
    <s v="0"/>
    <s v="0"/>
    <s v="N.A"/>
    <s v="0"/>
    <s v="0"/>
    <s v="31"/>
    <s v="31"/>
    <s v="Lead Software Engineer"/>
    <s v="Delivery-IN"/>
    <s v="Hyderabad"/>
    <s v="Telangana "/>
    <s v="50100561253659"/>
    <s v="HDFC BANK"/>
    <s v="90480"/>
    <s v="BCKPH3509N"/>
    <n v="38017"/>
    <n v="38017"/>
    <n v="0"/>
    <n v="15207"/>
    <n v="15207"/>
    <n v="0"/>
    <n v="4182"/>
    <n v="4182"/>
    <n v="0"/>
    <n v="0"/>
    <n v="0"/>
    <n v="0"/>
    <n v="9504"/>
    <n v="9504"/>
    <n v="0"/>
    <n v="2200"/>
    <n v="2200"/>
    <n v="0"/>
    <n v="21370"/>
    <n v="21370"/>
    <n v="0"/>
    <n v="0"/>
    <n v="0"/>
    <n v="0"/>
    <n v="0"/>
    <n v="0"/>
    <n v="0"/>
    <n v="0"/>
    <n v="0"/>
    <n v="0"/>
    <n v="0"/>
    <n v="0"/>
    <n v="0"/>
    <n v="0"/>
    <n v="90480"/>
    <n v="90480"/>
    <n v="2200"/>
    <n v="0"/>
    <n v="0"/>
    <n v="200"/>
    <n v="0"/>
    <n v="0"/>
    <n v="4562"/>
    <n v="0"/>
    <n v="4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62"/>
    <n v="83518"/>
    <s v="0"/>
    <s v="0"/>
    <n v="83518"/>
  </r>
  <r>
    <s v="FS342"/>
    <s v="Srikanth Ganivada "/>
    <x v="4"/>
    <s v="02-12-2022"/>
    <s v="N.A"/>
    <s v="2025-11"/>
    <s v="Success"/>
    <s v="N.A"/>
    <s v=""/>
    <s v="31"/>
    <s v="0"/>
    <s v="0"/>
    <s v="N.A"/>
    <s v="0"/>
    <s v="0"/>
    <s v="31"/>
    <s v="31"/>
    <s v="QA Manager"/>
    <s v="Delivery-IN"/>
    <s v="Hyderabad"/>
    <s v="Telangana "/>
    <s v="50100565833375"/>
    <s v="HDFC BANK"/>
    <s v="183850"/>
    <s v="AJNPG6087H"/>
    <n v="74260"/>
    <n v="74260"/>
    <n v="0"/>
    <n v="29704"/>
    <n v="29704"/>
    <n v="0"/>
    <n v="8169"/>
    <n v="8169"/>
    <n v="0"/>
    <n v="0"/>
    <n v="0"/>
    <n v="0"/>
    <n v="10000"/>
    <n v="10000"/>
    <n v="0"/>
    <n v="0"/>
    <n v="0"/>
    <n v="0"/>
    <n v="61717"/>
    <n v="61717"/>
    <n v="0"/>
    <n v="0"/>
    <n v="0"/>
    <n v="0"/>
    <n v="0"/>
    <n v="0"/>
    <n v="0"/>
    <n v="0"/>
    <n v="0"/>
    <n v="0"/>
    <n v="0"/>
    <n v="0"/>
    <n v="0"/>
    <n v="0"/>
    <n v="183850"/>
    <n v="183850"/>
    <n v="0"/>
    <n v="0"/>
    <n v="2017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176"/>
    <n v="161674"/>
    <s v="0"/>
    <s v="0"/>
    <n v="161674"/>
  </r>
  <r>
    <s v="FS343"/>
    <s v="Pramod Mahakud "/>
    <x v="2"/>
    <s v="01-12-2022"/>
    <s v="N.A"/>
    <s v="2025-11"/>
    <s v="Success"/>
    <s v="N.A"/>
    <s v=""/>
    <s v="31"/>
    <s v="0"/>
    <s v="0"/>
    <s v="N.A"/>
    <s v="0"/>
    <s v="0"/>
    <s v="31"/>
    <s v="31"/>
    <s v="Office Assistant/Security"/>
    <s v="Office Operation-IN"/>
    <s v="Hyderabad"/>
    <s v="Telangana "/>
    <s v="50100099944288"/>
    <s v="HDFC BANK"/>
    <s v="33400"/>
    <s v="AXKPM6004B"/>
    <n v="14080"/>
    <n v="14080"/>
    <n v="0"/>
    <n v="5632"/>
    <n v="5632"/>
    <n v="0"/>
    <n v="1549"/>
    <n v="1549"/>
    <n v="0"/>
    <n v="0"/>
    <n v="0"/>
    <n v="0"/>
    <n v="3520"/>
    <n v="3520"/>
    <n v="0"/>
    <n v="0"/>
    <n v="0"/>
    <n v="0"/>
    <n v="8619"/>
    <n v="8619"/>
    <n v="0"/>
    <n v="0"/>
    <n v="0"/>
    <n v="0"/>
    <n v="0"/>
    <n v="0"/>
    <n v="0"/>
    <n v="0"/>
    <n v="0"/>
    <n v="0"/>
    <n v="0"/>
    <n v="0"/>
    <n v="0"/>
    <n v="0"/>
    <n v="33400"/>
    <n v="334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1400"/>
    <s v="0"/>
    <s v="0"/>
    <n v="31400"/>
  </r>
  <r>
    <s v="FS345"/>
    <s v="Nare Shashidhar"/>
    <x v="7"/>
    <s v="12-12-2022"/>
    <s v="N.A"/>
    <s v="2025-11"/>
    <s v="Success"/>
    <s v="N.A"/>
    <s v=""/>
    <s v="31"/>
    <s v="0"/>
    <s v="0"/>
    <s v="N.A"/>
    <s v="0"/>
    <s v="0"/>
    <s v="31"/>
    <s v="31"/>
    <s v="Senior Technical Lead"/>
    <s v="Analytics Practice"/>
    <s v="Hyderabad"/>
    <s v="Telangana "/>
    <s v="50100145438351"/>
    <s v="HDFC BANK"/>
    <s v="193066"/>
    <s v="ASGPN1211Q"/>
    <n v="81120"/>
    <n v="81120"/>
    <n v="0"/>
    <n v="32448"/>
    <n v="32448"/>
    <n v="0"/>
    <n v="8923"/>
    <n v="8923"/>
    <n v="0"/>
    <n v="0"/>
    <n v="0"/>
    <n v="0"/>
    <n v="10000"/>
    <n v="10000"/>
    <n v="0"/>
    <n v="0"/>
    <n v="0"/>
    <n v="0"/>
    <n v="60575"/>
    <n v="60575"/>
    <n v="0"/>
    <n v="0"/>
    <n v="0"/>
    <n v="0"/>
    <n v="0"/>
    <n v="0"/>
    <n v="0"/>
    <n v="0"/>
    <n v="0"/>
    <n v="0"/>
    <n v="0"/>
    <n v="0"/>
    <n v="0"/>
    <n v="0"/>
    <n v="193066"/>
    <n v="193066"/>
    <n v="0"/>
    <n v="0"/>
    <n v="22572"/>
    <n v="200"/>
    <n v="0"/>
    <n v="0"/>
    <n v="9734"/>
    <n v="0"/>
    <n v="9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06"/>
    <n v="160560"/>
    <s v="0"/>
    <s v="0"/>
    <n v="160560"/>
  </r>
  <r>
    <s v="FS349"/>
    <s v="Venkata Ramana Rao Mahendrakar "/>
    <x v="5"/>
    <s v="22-12-2022"/>
    <s v="N.A"/>
    <s v="2025-11"/>
    <s v="Success"/>
    <s v="N.A"/>
    <s v=""/>
    <s v="31"/>
    <s v="0"/>
    <s v="0"/>
    <s v="N.A"/>
    <s v="0"/>
    <s v="0"/>
    <s v="31"/>
    <s v="31"/>
    <s v="Senior Technical Lead"/>
    <s v="Delivery-IN"/>
    <s v="Hyderabad"/>
    <s v="Telangana "/>
    <s v="50100286053321"/>
    <s v="HDFC BANK"/>
    <s v="343997"/>
    <s v="BNSPM0675D"/>
    <n v="138319"/>
    <n v="138319"/>
    <n v="0"/>
    <n v="55328"/>
    <n v="55328"/>
    <n v="0"/>
    <n v="15215"/>
    <n v="15215"/>
    <n v="0"/>
    <n v="0"/>
    <n v="0"/>
    <n v="0"/>
    <n v="10000"/>
    <n v="10000"/>
    <n v="0"/>
    <n v="2200"/>
    <n v="2200"/>
    <n v="0"/>
    <n v="122935"/>
    <n v="122935"/>
    <n v="0"/>
    <n v="0"/>
    <n v="0"/>
    <n v="0"/>
    <n v="0"/>
    <n v="0"/>
    <n v="0"/>
    <n v="0"/>
    <n v="0"/>
    <n v="0"/>
    <n v="0"/>
    <n v="0"/>
    <n v="0"/>
    <n v="0"/>
    <n v="343997"/>
    <n v="343997"/>
    <n v="2200"/>
    <n v="0"/>
    <n v="6897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178"/>
    <n v="270819"/>
    <s v="0"/>
    <s v="0"/>
    <n v="270819"/>
  </r>
  <r>
    <s v="FS355"/>
    <s v="Muraboina Chakravarthi "/>
    <x v="4"/>
    <s v="09-01-2023"/>
    <s v="N.A"/>
    <s v="2025-11"/>
    <s v="Success"/>
    <s v="N.A"/>
    <s v=""/>
    <s v="31"/>
    <s v="0"/>
    <s v="0"/>
    <s v="N.A"/>
    <s v="0"/>
    <s v="0"/>
    <s v="31"/>
    <s v="31"/>
    <s v="Software Engineer I"/>
    <s v="Delivery-IN"/>
    <s v="Hyderabad"/>
    <s v="Telangana "/>
    <s v="50100581867619"/>
    <s v="HDFC BANK"/>
    <s v="44760"/>
    <s v="CMCPC2587C"/>
    <n v="18624"/>
    <n v="18624"/>
    <n v="0"/>
    <n v="7450"/>
    <n v="7450"/>
    <n v="0"/>
    <n v="2049"/>
    <n v="2049"/>
    <n v="0"/>
    <n v="0"/>
    <n v="0"/>
    <n v="0"/>
    <n v="4656"/>
    <n v="4656"/>
    <n v="0"/>
    <n v="0"/>
    <n v="0"/>
    <n v="0"/>
    <n v="11981"/>
    <n v="11981"/>
    <n v="0"/>
    <n v="0"/>
    <n v="0"/>
    <n v="0"/>
    <n v="0"/>
    <n v="0"/>
    <n v="0"/>
    <n v="0"/>
    <n v="0"/>
    <n v="0"/>
    <n v="0"/>
    <n v="0"/>
    <n v="0"/>
    <n v="0"/>
    <n v="44760"/>
    <n v="4476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2760"/>
    <s v="0"/>
    <s v="0"/>
    <n v="42760"/>
  </r>
  <r>
    <s v="FS356"/>
    <s v="Bollu Ramana Reddy"/>
    <x v="9"/>
    <s v="09-01-2023"/>
    <s v="N.A"/>
    <s v="2025-11"/>
    <s v="Success"/>
    <s v="N.A"/>
    <s v=""/>
    <s v="31"/>
    <s v="0"/>
    <s v="0"/>
    <s v="N.A"/>
    <s v="0"/>
    <s v="0"/>
    <s v="31"/>
    <s v="31"/>
    <s v="Architect"/>
    <s v="Delivery-IN"/>
    <s v="Hyderabad"/>
    <s v="Telangana "/>
    <s v="50100212359496"/>
    <s v="HDFC BANK"/>
    <s v="337108"/>
    <s v="ANQPB0903J"/>
    <n v="127563"/>
    <n v="127563"/>
    <n v="0"/>
    <n v="51025"/>
    <n v="51025"/>
    <n v="0"/>
    <n v="14032"/>
    <n v="14032"/>
    <n v="0"/>
    <n v="0"/>
    <n v="0"/>
    <n v="0"/>
    <n v="10000"/>
    <n v="10000"/>
    <n v="0"/>
    <n v="2200"/>
    <n v="2200"/>
    <n v="0"/>
    <n v="112288"/>
    <n v="112288"/>
    <n v="0"/>
    <n v="0"/>
    <n v="0"/>
    <n v="0"/>
    <n v="0"/>
    <n v="0"/>
    <n v="20000"/>
    <n v="0"/>
    <n v="0"/>
    <n v="0"/>
    <n v="0"/>
    <n v="0"/>
    <n v="0"/>
    <n v="20000"/>
    <n v="337108"/>
    <n v="337108"/>
    <n v="2200"/>
    <n v="0"/>
    <n v="76281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481"/>
    <n v="256627"/>
    <s v="0"/>
    <s v="0"/>
    <n v="256627"/>
  </r>
  <r>
    <s v="FS362"/>
    <s v="GADEKARI KESAVA"/>
    <x v="9"/>
    <s v="23-01-2023"/>
    <s v="N.A"/>
    <s v="2025-11"/>
    <s v="Success"/>
    <s v="N.A"/>
    <s v=""/>
    <s v="31"/>
    <s v="0"/>
    <s v="0"/>
    <s v="N.A"/>
    <s v="0"/>
    <s v="0"/>
    <s v="31"/>
    <s v="31"/>
    <s v="Senior Developer AWS"/>
    <s v="Delivery-IN"/>
    <s v="Hyderabad"/>
    <s v="Telangana "/>
    <s v="50100573701435"/>
    <s v="HDFC BANK"/>
    <s v="260985"/>
    <s v="DGLPK1304M"/>
    <n v="97114"/>
    <n v="97114"/>
    <n v="0"/>
    <n v="38846"/>
    <n v="38846"/>
    <n v="0"/>
    <n v="10683"/>
    <n v="10683"/>
    <n v="0"/>
    <n v="0"/>
    <n v="0"/>
    <n v="0"/>
    <n v="10000"/>
    <n v="10000"/>
    <n v="0"/>
    <n v="2200"/>
    <n v="2200"/>
    <n v="0"/>
    <n v="82142"/>
    <n v="82142"/>
    <n v="0"/>
    <n v="0"/>
    <n v="0"/>
    <n v="0"/>
    <n v="0"/>
    <n v="0"/>
    <n v="20000"/>
    <n v="0"/>
    <n v="0"/>
    <n v="0"/>
    <n v="0"/>
    <n v="0"/>
    <n v="0"/>
    <n v="20000"/>
    <n v="260985"/>
    <n v="260985"/>
    <n v="2200"/>
    <n v="0"/>
    <n v="49051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51"/>
    <n v="207734"/>
    <s v="0"/>
    <s v="0"/>
    <n v="207734"/>
  </r>
  <r>
    <s v="FS365"/>
    <s v="Naga Ganesh Gunukula"/>
    <x v="10"/>
    <s v="30-01-2023"/>
    <s v="N.A"/>
    <s v="2025-11"/>
    <s v="Success"/>
    <s v="N.A"/>
    <s v=""/>
    <s v="31"/>
    <s v="0"/>
    <s v="0"/>
    <s v="N.A"/>
    <s v="0"/>
    <s v="0"/>
    <s v="31"/>
    <s v="31"/>
    <s v="Manager- IT, Cloud &amp; Infra"/>
    <s v="IT Ops-IN"/>
    <s v="Hyderabad"/>
    <s v="Telangana "/>
    <s v="50100597824771"/>
    <s v="HDFC BANK"/>
    <s v="175698"/>
    <s v="AVAPG9521H"/>
    <n v="73823"/>
    <n v="73823"/>
    <n v="0"/>
    <n v="29529"/>
    <n v="29529"/>
    <n v="0"/>
    <n v="8121"/>
    <n v="8121"/>
    <n v="0"/>
    <n v="0"/>
    <n v="0"/>
    <n v="0"/>
    <n v="10000"/>
    <n v="10000"/>
    <n v="0"/>
    <n v="2200"/>
    <n v="2200"/>
    <n v="0"/>
    <n v="52025"/>
    <n v="52025"/>
    <n v="0"/>
    <n v="0"/>
    <n v="0"/>
    <n v="0"/>
    <n v="0"/>
    <n v="0"/>
    <n v="0"/>
    <n v="0"/>
    <n v="0"/>
    <n v="0"/>
    <n v="0"/>
    <n v="0"/>
    <n v="0"/>
    <n v="0"/>
    <n v="175698"/>
    <n v="175698"/>
    <n v="2200"/>
    <n v="0"/>
    <n v="21572"/>
    <n v="200"/>
    <n v="0"/>
    <n v="0"/>
    <n v="8859"/>
    <n v="0"/>
    <n v="8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31"/>
    <n v="142867"/>
    <s v="0"/>
    <s v="0"/>
    <n v="142867"/>
  </r>
  <r>
    <s v="FS366"/>
    <s v="Krishnaiah Idindla "/>
    <x v="2"/>
    <s v="01-02-2023"/>
    <s v="N.A"/>
    <s v="2025-11"/>
    <s v="Success"/>
    <s v="N.A"/>
    <s v=""/>
    <s v="31"/>
    <s v="0"/>
    <s v="0"/>
    <s v="N.A"/>
    <s v="0"/>
    <s v="0"/>
    <s v="31"/>
    <s v="31"/>
    <s v="Office assistant"/>
    <s v="Office Operation-IN"/>
    <s v="Hyderabad"/>
    <s v="Telangana "/>
    <s v="50100585460748"/>
    <s v="HDFC BANK"/>
    <s v="33400"/>
    <s v="ACIPI4379N"/>
    <n v="14080"/>
    <n v="14080"/>
    <n v="0"/>
    <n v="5632"/>
    <n v="5632"/>
    <n v="0"/>
    <n v="1549"/>
    <n v="1549"/>
    <n v="0"/>
    <n v="0"/>
    <n v="0"/>
    <n v="0"/>
    <n v="3520"/>
    <n v="3520"/>
    <n v="0"/>
    <n v="0"/>
    <n v="0"/>
    <n v="0"/>
    <n v="8619"/>
    <n v="8619"/>
    <n v="0"/>
    <n v="0"/>
    <n v="0"/>
    <n v="0"/>
    <n v="0"/>
    <n v="0"/>
    <n v="0"/>
    <n v="0"/>
    <n v="0"/>
    <n v="0"/>
    <n v="0"/>
    <n v="0"/>
    <n v="0"/>
    <n v="0"/>
    <n v="33400"/>
    <n v="334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1400"/>
    <s v="0"/>
    <s v="0"/>
    <n v="31400"/>
  </r>
  <r>
    <s v="FS382"/>
    <s v="Mohammad Rehan "/>
    <x v="0"/>
    <s v="13-03-2023"/>
    <s v="N.A"/>
    <s v="2025-11"/>
    <s v="Success"/>
    <s v="N.A"/>
    <s v=""/>
    <s v="31"/>
    <s v="0"/>
    <s v="0"/>
    <s v="N.A"/>
    <s v="25"/>
    <s v="0"/>
    <s v="31"/>
    <s v="31"/>
    <s v="Senior Technical Recruiter"/>
    <s v="Recruitment-IN"/>
    <s v="Hyderabad"/>
    <s v="Telangana "/>
    <s v="50100283387289"/>
    <s v="HDFC BANK"/>
    <s v="101334"/>
    <s v="BVSPR8610M"/>
    <n v="32854"/>
    <n v="32854"/>
    <n v="2028"/>
    <n v="13141"/>
    <n v="13141"/>
    <n v="811"/>
    <n v="3614"/>
    <n v="3614"/>
    <n v="223"/>
    <n v="0"/>
    <n v="0"/>
    <n v="0"/>
    <n v="8213"/>
    <n v="8213"/>
    <n v="-1489"/>
    <n v="0"/>
    <n v="0"/>
    <n v="0"/>
    <n v="22512"/>
    <n v="22512"/>
    <n v="3497"/>
    <n v="0"/>
    <n v="0"/>
    <n v="21000"/>
    <n v="0"/>
    <n v="0"/>
    <n v="0"/>
    <n v="0"/>
    <n v="0"/>
    <n v="0"/>
    <n v="0"/>
    <n v="0"/>
    <n v="0"/>
    <n v="21000"/>
    <n v="106404"/>
    <n v="10640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04404"/>
    <s v="0"/>
    <s v="0"/>
    <n v="104404"/>
  </r>
  <r>
    <s v="FS383"/>
    <s v="Prajwal Edla"/>
    <x v="7"/>
    <s v="01-03-2023"/>
    <s v="N.A"/>
    <s v="2025-11"/>
    <s v="Success"/>
    <s v="N.A"/>
    <s v=""/>
    <s v="31"/>
    <s v="0"/>
    <s v="0"/>
    <s v="N.A"/>
    <s v="0"/>
    <s v="0"/>
    <s v="31"/>
    <s v="31"/>
    <s v="Data Engineer - I"/>
    <s v="Delivery-IN"/>
    <s v="Hyderabad"/>
    <s v="Telangana "/>
    <s v="50100581868240"/>
    <s v="HDFC BANK"/>
    <s v="71931"/>
    <s v="ADJPE9582H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18738"/>
    <n v="18738"/>
    <n v="0"/>
    <n v="0"/>
    <n v="0"/>
    <n v="0"/>
    <n v="0"/>
    <n v="0"/>
    <n v="0"/>
    <n v="0"/>
    <n v="0"/>
    <n v="0"/>
    <n v="0"/>
    <n v="0"/>
    <n v="0"/>
    <n v="0"/>
    <n v="71931"/>
    <n v="71931"/>
    <n v="0"/>
    <n v="0"/>
    <n v="0"/>
    <n v="200"/>
    <n v="0"/>
    <n v="0"/>
    <n v="3627"/>
    <n v="0"/>
    <n v="3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7"/>
    <n v="68104"/>
    <s v="0"/>
    <s v="0"/>
    <n v="68104"/>
  </r>
  <r>
    <s v="FS389"/>
    <s v="Priyanka bandaru 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23632823"/>
    <s v="HDFC BANK"/>
    <s v="89345"/>
    <s v="GGGPP2068K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392"/>
    <s v="Lavanya Gorrela 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465382161"/>
    <s v="HDFC BANK"/>
    <s v="65964"/>
    <s v="DCPPG7635P"/>
    <n v="27106"/>
    <n v="27106"/>
    <n v="0"/>
    <n v="10842"/>
    <n v="10842"/>
    <n v="0"/>
    <n v="2982"/>
    <n v="2982"/>
    <n v="0"/>
    <n v="0"/>
    <n v="0"/>
    <n v="0"/>
    <n v="6776"/>
    <n v="6776"/>
    <n v="0"/>
    <n v="0"/>
    <n v="0"/>
    <n v="0"/>
    <n v="18258"/>
    <n v="18258"/>
    <n v="0"/>
    <n v="0"/>
    <n v="0"/>
    <n v="0"/>
    <n v="0"/>
    <n v="0"/>
    <n v="0"/>
    <n v="0"/>
    <n v="0"/>
    <n v="0"/>
    <n v="0"/>
    <n v="0"/>
    <n v="0"/>
    <n v="0"/>
    <n v="65964"/>
    <n v="6596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3964"/>
    <s v="0"/>
    <s v="0"/>
    <n v="63964"/>
  </r>
  <r>
    <s v="FS397"/>
    <s v="MANIKONDA SRAVANI"/>
    <x v="4"/>
    <s v="03-04-2023"/>
    <d v="2025-11-21T00:00:00"/>
    <s v="2025-11"/>
    <s v="Success"/>
    <s v="N.A"/>
    <s v="Hold Salary"/>
    <s v="31"/>
    <s v="0"/>
    <s v="0"/>
    <s v="N.A"/>
    <s v="0"/>
    <s v="0"/>
    <s v="27"/>
    <s v="27"/>
    <s v="Software Development Engineer in Test - I"/>
    <s v="Support Function-IN"/>
    <s v="Hyderabad"/>
    <s v="Telangana "/>
    <s v="50100465382122"/>
    <s v="HDFC BANK"/>
    <s v="65964"/>
    <s v="FCBPM4330P"/>
    <n v="27106"/>
    <n v="23608"/>
    <n v="0"/>
    <n v="10842"/>
    <n v="9443"/>
    <n v="0"/>
    <n v="2982"/>
    <n v="2597"/>
    <n v="0"/>
    <n v="0"/>
    <n v="0"/>
    <n v="0"/>
    <n v="6776"/>
    <n v="5902"/>
    <n v="0"/>
    <n v="0"/>
    <n v="0"/>
    <n v="0"/>
    <n v="18258"/>
    <n v="15902"/>
    <n v="0"/>
    <n v="0"/>
    <n v="0"/>
    <n v="0"/>
    <n v="0"/>
    <n v="0"/>
    <n v="0"/>
    <n v="0"/>
    <n v="0"/>
    <n v="0"/>
    <n v="0"/>
    <n v="0"/>
    <n v="0"/>
    <n v="0"/>
    <n v="57452"/>
    <n v="57452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55452"/>
    <s v="0"/>
    <s v="0"/>
    <n v="55452"/>
  </r>
  <r>
    <s v="FS398"/>
    <s v="Majji UdayaKeerthi 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435139160"/>
    <s v="HDFC BANK"/>
    <s v="65964"/>
    <s v="LYBPK7779N"/>
    <n v="27106"/>
    <n v="27106"/>
    <n v="0"/>
    <n v="10842"/>
    <n v="10842"/>
    <n v="0"/>
    <n v="2982"/>
    <n v="2982"/>
    <n v="0"/>
    <n v="0"/>
    <n v="0"/>
    <n v="0"/>
    <n v="6776"/>
    <n v="6776"/>
    <n v="0"/>
    <n v="0"/>
    <n v="0"/>
    <n v="0"/>
    <n v="18258"/>
    <n v="18258"/>
    <n v="0"/>
    <n v="0"/>
    <n v="0"/>
    <n v="0"/>
    <n v="0"/>
    <n v="0"/>
    <n v="0"/>
    <n v="0"/>
    <n v="0"/>
    <n v="0"/>
    <n v="0"/>
    <n v="0"/>
    <n v="0"/>
    <n v="0"/>
    <n v="65964"/>
    <n v="6596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3964"/>
    <s v="0"/>
    <s v="0"/>
    <n v="63964"/>
  </r>
  <r>
    <s v="FS404"/>
    <s v="Lakshmanarao Kodela "/>
    <x v="7"/>
    <s v="03-04-2023"/>
    <s v="N.A"/>
    <s v="2025-11"/>
    <s v="Success"/>
    <s v="N.A"/>
    <s v=""/>
    <s v="31"/>
    <s v="0"/>
    <s v="0"/>
    <s v="N.A"/>
    <s v="0"/>
    <s v="0"/>
    <s v="31"/>
    <s v="31"/>
    <s v="Data Engineer - I"/>
    <s v="Delivery-IN"/>
    <s v="Hyderabad"/>
    <s v="Telangana "/>
    <s v="50100467103426"/>
    <s v="HDFC BANK"/>
    <s v="93242"/>
    <s v="BOQPL1690J"/>
    <n v="38017"/>
    <n v="38017"/>
    <n v="0"/>
    <n v="15207"/>
    <n v="15207"/>
    <n v="0"/>
    <n v="4182"/>
    <n v="4182"/>
    <n v="0"/>
    <n v="0"/>
    <n v="0"/>
    <n v="0"/>
    <n v="9504"/>
    <n v="9504"/>
    <n v="0"/>
    <n v="0"/>
    <n v="0"/>
    <n v="0"/>
    <n v="26332"/>
    <n v="26332"/>
    <n v="0"/>
    <n v="0"/>
    <n v="0"/>
    <n v="0"/>
    <n v="0"/>
    <n v="0"/>
    <n v="0"/>
    <n v="0"/>
    <n v="0"/>
    <n v="0"/>
    <n v="0"/>
    <n v="0"/>
    <n v="0"/>
    <n v="0"/>
    <n v="93242"/>
    <n v="93242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91242"/>
    <s v="0"/>
    <s v="0"/>
    <n v="91242"/>
  </r>
  <r>
    <s v="FS406"/>
    <s v="Ramesh Ganamana 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467103287"/>
    <s v="HDFC BANK"/>
    <s v="73758"/>
    <s v="DCOPG6598A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07"/>
    <s v="Rakesh Chappa "/>
    <x v="7"/>
    <s v="03-04-2023"/>
    <s v="N.A"/>
    <s v="2025-11"/>
    <s v="Success"/>
    <s v="N.A"/>
    <s v=""/>
    <s v="31"/>
    <s v="0"/>
    <s v="0"/>
    <s v="N.A"/>
    <s v="0"/>
    <s v="0"/>
    <s v="31"/>
    <s v="31"/>
    <s v="Data Engineer - I"/>
    <s v="Delivery-IN"/>
    <s v="Hyderabad"/>
    <s v="Telangana "/>
    <s v="50100467103274"/>
    <s v="HDFC BANK"/>
    <s v="93242"/>
    <s v="FPEPR1504G"/>
    <n v="38017"/>
    <n v="38017"/>
    <n v="0"/>
    <n v="15207"/>
    <n v="15207"/>
    <n v="0"/>
    <n v="4182"/>
    <n v="4182"/>
    <n v="0"/>
    <n v="0"/>
    <n v="0"/>
    <n v="0"/>
    <n v="9504"/>
    <n v="9504"/>
    <n v="0"/>
    <n v="0"/>
    <n v="0"/>
    <n v="0"/>
    <n v="26332"/>
    <n v="26332"/>
    <n v="0"/>
    <n v="0"/>
    <n v="0"/>
    <n v="0"/>
    <n v="0"/>
    <n v="0"/>
    <n v="0"/>
    <n v="0"/>
    <n v="0"/>
    <n v="0"/>
    <n v="0"/>
    <n v="0"/>
    <n v="0"/>
    <n v="0"/>
    <n v="93242"/>
    <n v="93242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91242"/>
    <s v="0"/>
    <s v="0"/>
    <n v="91242"/>
  </r>
  <r>
    <s v="FS408"/>
    <s v="Satrapu Bhargavchandar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467103261"/>
    <s v="HDFC BANK"/>
    <s v="73758"/>
    <s v="NVDPS5556Q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09"/>
    <s v="Kunkupudi Saikumar"/>
    <x v="4"/>
    <s v="03-04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465382313"/>
    <s v="HDFC BANK"/>
    <s v="65964"/>
    <s v="PJHPS5715K"/>
    <n v="27106"/>
    <n v="27106"/>
    <n v="0"/>
    <n v="10842"/>
    <n v="10842"/>
    <n v="0"/>
    <n v="2982"/>
    <n v="2982"/>
    <n v="0"/>
    <n v="0"/>
    <n v="0"/>
    <n v="0"/>
    <n v="6776"/>
    <n v="6776"/>
    <n v="0"/>
    <n v="0"/>
    <n v="0"/>
    <n v="0"/>
    <n v="18258"/>
    <n v="18258"/>
    <n v="0"/>
    <n v="0"/>
    <n v="0"/>
    <n v="0"/>
    <n v="0"/>
    <n v="0"/>
    <n v="0"/>
    <n v="0"/>
    <n v="0"/>
    <n v="0"/>
    <n v="0"/>
    <n v="0"/>
    <n v="0"/>
    <n v="0"/>
    <n v="65964"/>
    <n v="6596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3964"/>
    <s v="0"/>
    <s v="0"/>
    <n v="63964"/>
  </r>
  <r>
    <s v="FS414"/>
    <s v="Veladi Siva Chanakya"/>
    <x v="0"/>
    <s v="13-04-2023"/>
    <s v="N.A"/>
    <s v="2025-11"/>
    <s v="Success"/>
    <s v="N.A"/>
    <s v=""/>
    <s v="31"/>
    <s v="0"/>
    <s v="0"/>
    <s v="N.A"/>
    <s v="25"/>
    <s v="0"/>
    <s v="31"/>
    <s v="31"/>
    <s v="Associate Vice President – Talent Acquisition"/>
    <s v="Recruitment-IN"/>
    <s v="Hyderabad"/>
    <s v="Telangana "/>
    <s v="50100069733522"/>
    <s v="HDFC BANK"/>
    <s v="392516"/>
    <s v="AIYPV7088H"/>
    <n v="164923"/>
    <n v="164923"/>
    <n v="10181"/>
    <n v="65969"/>
    <n v="65969"/>
    <n v="4072"/>
    <n v="18142"/>
    <n v="18142"/>
    <n v="1120"/>
    <n v="0"/>
    <n v="0"/>
    <n v="0"/>
    <n v="10000"/>
    <n v="10000"/>
    <n v="0"/>
    <n v="2200"/>
    <n v="2200"/>
    <n v="0"/>
    <n v="131282"/>
    <n v="131282"/>
    <n v="8857"/>
    <n v="0"/>
    <n v="0"/>
    <n v="0"/>
    <n v="0"/>
    <n v="0"/>
    <n v="0"/>
    <n v="0"/>
    <n v="0"/>
    <n v="0"/>
    <n v="0"/>
    <n v="0"/>
    <n v="0"/>
    <n v="0"/>
    <n v="416746"/>
    <n v="416746"/>
    <n v="2200"/>
    <n v="0"/>
    <n v="85627"/>
    <n v="200"/>
    <n v="0"/>
    <n v="0"/>
    <n v="19791"/>
    <n v="1221"/>
    <n v="19791"/>
    <n v="1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39"/>
    <n v="307707"/>
    <s v="0"/>
    <s v="0"/>
    <n v="307707"/>
  </r>
  <r>
    <s v="FS415"/>
    <s v="Ankush Gawande "/>
    <x v="5"/>
    <s v="17-04-2023"/>
    <s v="N.A"/>
    <s v="2025-11"/>
    <s v="Success"/>
    <s v="N.A"/>
    <s v=""/>
    <s v="31"/>
    <s v="0"/>
    <s v="0"/>
    <s v="N.A"/>
    <s v="0"/>
    <s v="0"/>
    <s v="31"/>
    <s v="31"/>
    <s v="Architect"/>
    <s v="Delivery-IN"/>
    <s v="Hyderabad"/>
    <s v="Telangana "/>
    <s v="50100214282495"/>
    <s v="HDFC BANK"/>
    <s v="361946"/>
    <s v="AXQPG6662D"/>
    <n v="145498"/>
    <n v="145498"/>
    <n v="0"/>
    <n v="58199"/>
    <n v="58199"/>
    <n v="0"/>
    <n v="16005"/>
    <n v="16005"/>
    <n v="0"/>
    <n v="0"/>
    <n v="0"/>
    <n v="0"/>
    <n v="10000"/>
    <n v="10000"/>
    <n v="0"/>
    <n v="0"/>
    <n v="0"/>
    <n v="0"/>
    <n v="132244"/>
    <n v="132244"/>
    <n v="0"/>
    <n v="0"/>
    <n v="0"/>
    <n v="0"/>
    <n v="0"/>
    <n v="0"/>
    <n v="0"/>
    <n v="0"/>
    <n v="0"/>
    <n v="0"/>
    <n v="0"/>
    <n v="0"/>
    <n v="0"/>
    <n v="0"/>
    <n v="361946"/>
    <n v="361946"/>
    <n v="0"/>
    <n v="0"/>
    <n v="74577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577"/>
    <n v="285369"/>
    <s v="0"/>
    <s v="0"/>
    <n v="285369"/>
  </r>
  <r>
    <s v="FS416"/>
    <s v="Saurabh Jaiswal "/>
    <x v="5"/>
    <s v="19-04-2023"/>
    <s v="N.A"/>
    <s v="2025-11"/>
    <s v="Success"/>
    <s v="N.A"/>
    <s v=""/>
    <s v="31"/>
    <s v="0"/>
    <s v="0"/>
    <s v="N.A"/>
    <s v="25"/>
    <s v="0"/>
    <s v="31"/>
    <s v="31"/>
    <s v="Associate Architect"/>
    <s v="Delivery-IN"/>
    <s v="Hyderabad"/>
    <s v="Telangana "/>
    <s v="50100617500151"/>
    <s v="HDFC BANK"/>
    <s v="337395"/>
    <s v="AQJPJ8448C"/>
    <n v="141762"/>
    <n v="141762"/>
    <n v="8750"/>
    <n v="56705"/>
    <n v="56705"/>
    <n v="3500"/>
    <n v="15594"/>
    <n v="15594"/>
    <n v="963"/>
    <n v="0"/>
    <n v="0"/>
    <n v="0"/>
    <n v="10000"/>
    <n v="10000"/>
    <n v="0"/>
    <n v="0"/>
    <n v="0"/>
    <n v="0"/>
    <n v="113334"/>
    <n v="113334"/>
    <n v="7614"/>
    <n v="0"/>
    <n v="0"/>
    <n v="0"/>
    <n v="0"/>
    <n v="0"/>
    <n v="0"/>
    <n v="0"/>
    <n v="0"/>
    <n v="0"/>
    <n v="0"/>
    <n v="0"/>
    <n v="0"/>
    <n v="0"/>
    <n v="358222"/>
    <n v="358222"/>
    <n v="0"/>
    <n v="0"/>
    <n v="68217"/>
    <n v="200"/>
    <n v="0"/>
    <n v="0"/>
    <n v="17011"/>
    <n v="1050"/>
    <n v="17011"/>
    <n v="1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78"/>
    <n v="271744"/>
    <s v="0"/>
    <s v="0"/>
    <n v="271744"/>
  </r>
  <r>
    <s v="FS423"/>
    <s v="Keerthana Chalasani"/>
    <x v="11"/>
    <s v="26-06-2023"/>
    <d v="2025-11-14T00:00:00"/>
    <s v="2025-11"/>
    <s v="Success"/>
    <s v="N.A"/>
    <s v="Hold Salary"/>
    <s v="31"/>
    <s v="0"/>
    <s v="0"/>
    <s v="N.A"/>
    <s v="0"/>
    <s v="0"/>
    <s v="20"/>
    <s v="20"/>
    <s v="Architect"/>
    <s v="Delivery-IN"/>
    <s v="Hyderabad"/>
    <s v="Telangana "/>
    <s v="50100625029294"/>
    <s v="HDFC BANK"/>
    <s v="237613"/>
    <s v="BEDPC3812E"/>
    <n v="99837"/>
    <n v="64411"/>
    <n v="0"/>
    <n v="39935"/>
    <n v="25765"/>
    <n v="0"/>
    <n v="10982"/>
    <n v="7085"/>
    <n v="0"/>
    <n v="0"/>
    <n v="0"/>
    <n v="0"/>
    <n v="10000"/>
    <n v="6452"/>
    <n v="0"/>
    <n v="2200"/>
    <n v="1419"/>
    <n v="0"/>
    <n v="74659"/>
    <n v="48167"/>
    <n v="0"/>
    <n v="0"/>
    <n v="0"/>
    <n v="0"/>
    <n v="0"/>
    <n v="0"/>
    <n v="0"/>
    <n v="0"/>
    <n v="0"/>
    <n v="0"/>
    <n v="0"/>
    <n v="0"/>
    <n v="0"/>
    <n v="0"/>
    <n v="153299"/>
    <n v="153299"/>
    <n v="1419"/>
    <n v="0"/>
    <n v="0"/>
    <n v="200"/>
    <n v="0"/>
    <n v="0"/>
    <n v="7729"/>
    <n v="0"/>
    <n v="7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48"/>
    <n v="143951"/>
    <s v="0"/>
    <s v="0"/>
    <n v="143951"/>
  </r>
  <r>
    <s v="FS424"/>
    <s v="Kawalpreet Kaur"/>
    <x v="5"/>
    <s v="29-06-2023"/>
    <s v="N.A"/>
    <s v="2025-11"/>
    <s v="Success"/>
    <s v="N.A"/>
    <s v=""/>
    <s v="31"/>
    <s v="0"/>
    <s v="0"/>
    <s v="N.A"/>
    <s v="25"/>
    <s v="0"/>
    <s v="31"/>
    <s v="31"/>
    <s v="Associate Tech Lead"/>
    <s v="Delivery-IN"/>
    <s v="Hyderabad"/>
    <s v="Telangana "/>
    <s v="50100646251544"/>
    <s v="HDFC BANK"/>
    <s v="188704"/>
    <s v="FHSPK2646L"/>
    <n v="79288"/>
    <n v="79288"/>
    <n v="3740"/>
    <n v="31715"/>
    <n v="31715"/>
    <n v="1496"/>
    <n v="8722"/>
    <n v="8722"/>
    <n v="412"/>
    <n v="0"/>
    <n v="0"/>
    <n v="0"/>
    <n v="10000"/>
    <n v="10000"/>
    <n v="0"/>
    <n v="0"/>
    <n v="0"/>
    <n v="0"/>
    <n v="58979"/>
    <n v="58979"/>
    <n v="3253"/>
    <n v="0"/>
    <n v="0"/>
    <n v="0"/>
    <n v="0"/>
    <n v="0"/>
    <n v="0"/>
    <n v="0"/>
    <n v="0"/>
    <n v="0"/>
    <n v="0"/>
    <n v="0"/>
    <n v="0"/>
    <n v="0"/>
    <n v="197605"/>
    <n v="197605"/>
    <n v="0"/>
    <n v="0"/>
    <n v="21901"/>
    <n v="200"/>
    <n v="0"/>
    <n v="0"/>
    <n v="9515"/>
    <n v="449"/>
    <n v="9515"/>
    <n v="4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65"/>
    <n v="165540"/>
    <s v="0"/>
    <s v="0"/>
    <n v="165540"/>
  </r>
  <r>
    <s v="FS427"/>
    <s v="Priyanka Mishra"/>
    <x v="1"/>
    <s v="31-07-2023"/>
    <s v="N.A"/>
    <s v="2025-11"/>
    <s v="Success"/>
    <s v="N.A"/>
    <s v=""/>
    <s v="31"/>
    <s v="0"/>
    <s v="0"/>
    <s v="N.A"/>
    <s v="0"/>
    <s v="0"/>
    <s v="31"/>
    <s v="31"/>
    <s v="Sr. Manager – HR and OD (Org. Development)"/>
    <s v="Human Resources"/>
    <s v="Hyderabad"/>
    <s v="Telangana "/>
    <s v="00811050111850"/>
    <s v="HDFC BANK"/>
    <s v="215033"/>
    <s v="AQYPM7591G"/>
    <n v="90350"/>
    <n v="90350"/>
    <n v="0"/>
    <n v="36140"/>
    <n v="36140"/>
    <n v="0"/>
    <n v="9939"/>
    <n v="9939"/>
    <n v="0"/>
    <n v="0"/>
    <n v="0"/>
    <n v="0"/>
    <n v="10000"/>
    <n v="10000"/>
    <n v="0"/>
    <n v="2200"/>
    <n v="2200"/>
    <n v="0"/>
    <n v="66404"/>
    <n v="66404"/>
    <n v="0"/>
    <n v="0"/>
    <n v="0"/>
    <n v="0"/>
    <n v="0"/>
    <n v="0"/>
    <n v="0"/>
    <n v="0"/>
    <n v="0"/>
    <n v="0"/>
    <n v="0"/>
    <n v="0"/>
    <n v="0"/>
    <n v="0"/>
    <n v="215033"/>
    <n v="215033"/>
    <n v="2200"/>
    <n v="0"/>
    <n v="28741"/>
    <n v="200"/>
    <n v="0"/>
    <n v="0"/>
    <n v="10842"/>
    <n v="0"/>
    <n v="10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983"/>
    <n v="173050"/>
    <s v="0"/>
    <s v="0"/>
    <n v="173050"/>
  </r>
  <r>
    <s v="FS430"/>
    <s v="Roshan Kumar Nayak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455936458"/>
    <s v="HDFC BANK"/>
    <s v="89345"/>
    <s v="CGDPN9550R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31"/>
    <s v="Aishwarya Sanku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455936560"/>
    <s v="HDFC BANK"/>
    <s v="89345"/>
    <s v="KUQPS1551E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33"/>
    <s v="Kuncha Sai"/>
    <x v="5"/>
    <s v="16-08-2023"/>
    <s v="N.A"/>
    <s v="2025-11"/>
    <s v="Success"/>
    <s v="N.A"/>
    <s v=""/>
    <s v="31"/>
    <s v="0"/>
    <s v="0"/>
    <s v="N.A"/>
    <s v="0"/>
    <s v="0"/>
    <s v="31"/>
    <s v="31"/>
    <s v="Software Engineer I"/>
    <s v="Delivery-IN"/>
    <s v="Hyderabad"/>
    <s v="Telangana "/>
    <s v="50100455936547"/>
    <s v="HDFC BANK"/>
    <s v="35766"/>
    <s v="MFOPS3525R"/>
    <n v="15027"/>
    <n v="15027"/>
    <n v="0"/>
    <n v="6011"/>
    <n v="6011"/>
    <n v="0"/>
    <n v="1653"/>
    <n v="1653"/>
    <n v="0"/>
    <n v="0"/>
    <n v="0"/>
    <n v="0"/>
    <n v="3757"/>
    <n v="3757"/>
    <n v="0"/>
    <n v="0"/>
    <n v="0"/>
    <n v="0"/>
    <n v="9318"/>
    <n v="9318"/>
    <n v="0"/>
    <n v="0"/>
    <n v="0"/>
    <n v="0"/>
    <n v="0"/>
    <n v="0"/>
    <n v="0"/>
    <n v="0"/>
    <n v="0"/>
    <n v="0"/>
    <n v="0"/>
    <n v="0"/>
    <n v="0"/>
    <n v="0"/>
    <n v="35766"/>
    <n v="35766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3766"/>
    <s v="0"/>
    <s v="0"/>
    <n v="33766"/>
  </r>
  <r>
    <s v="FS434"/>
    <s v="Priyakumari Ashokbhai Patel"/>
    <x v="5"/>
    <s v="16-08-2023"/>
    <s v="N.A"/>
    <s v="2025-11"/>
    <s v="Success"/>
    <s v="N.A"/>
    <s v=""/>
    <s v="31"/>
    <s v="0"/>
    <s v="0"/>
    <s v="N.A"/>
    <s v="0"/>
    <s v="0"/>
    <s v="31"/>
    <s v="31"/>
    <s v="Software Engineer I"/>
    <s v="Delivery-IN"/>
    <s v="Hyderabad"/>
    <s v="Telangana "/>
    <s v="50100652418331"/>
    <s v="HDFC BANK"/>
    <s v="73758"/>
    <s v="FZIPP9956G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35"/>
    <s v="Kakkammagari Dhamodharam"/>
    <x v="5"/>
    <s v="23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658430359"/>
    <s v="HDFC BANK"/>
    <s v="89345"/>
    <s v="FLFPD9737L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36"/>
    <s v="MUTHINENI MAHESH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455936521"/>
    <s v="HDFC BANK"/>
    <s v="89345"/>
    <s v="GCDPM8733B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37"/>
    <s v="Samudrala Datta Siva Sai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455936599"/>
    <s v="HDFC BANK"/>
    <s v="89345"/>
    <s v="NFWPS5761A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38"/>
    <s v="Sreenivasa H N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653058569"/>
    <s v="HDFC BANK"/>
    <s v="73758"/>
    <s v="QZWPS4964N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40"/>
    <s v="Bevara Chandrasekhar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595705421"/>
    <s v="HDFC BANK"/>
    <s v="73758"/>
    <s v="CGNPC5892F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42"/>
    <s v="Rakesh Pernati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455936432"/>
    <s v="HDFC BANK"/>
    <s v="81551"/>
    <s v="FCKPP6076A"/>
    <n v="33341"/>
    <n v="33341"/>
    <n v="0"/>
    <n v="13336"/>
    <n v="13336"/>
    <n v="0"/>
    <n v="3667"/>
    <n v="3667"/>
    <n v="0"/>
    <n v="0"/>
    <n v="0"/>
    <n v="0"/>
    <n v="8335"/>
    <n v="8335"/>
    <n v="0"/>
    <n v="0"/>
    <n v="0"/>
    <n v="0"/>
    <n v="22872"/>
    <n v="22872"/>
    <n v="0"/>
    <n v="0"/>
    <n v="0"/>
    <n v="0"/>
    <n v="0"/>
    <n v="0"/>
    <n v="0"/>
    <n v="0"/>
    <n v="0"/>
    <n v="0"/>
    <n v="0"/>
    <n v="0"/>
    <n v="0"/>
    <n v="0"/>
    <n v="81551"/>
    <n v="81551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9551"/>
    <s v="0"/>
    <s v="0"/>
    <n v="79551"/>
  </r>
  <r>
    <s v="FS443"/>
    <s v="Kamireddy Siva Krishna Reddy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595705418"/>
    <s v="HDFC BANK"/>
    <s v="73758"/>
    <s v="IHEPK7677G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45"/>
    <s v="Samundar Singh Rathore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652418328"/>
    <s v="HDFC BANK"/>
    <s v="73758"/>
    <s v="DEZPR4144N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47"/>
    <s v="SHARATH LS"/>
    <x v="4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52418370"/>
    <s v="HDFC BANK"/>
    <s v="89345"/>
    <s v="NKSPS4628K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48"/>
    <s v="Venna Siva Sankar Reddy"/>
    <x v="5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- I"/>
    <s v="Delivery-IN"/>
    <s v="Hyderabad"/>
    <s v="Telangana "/>
    <s v="50100653058520"/>
    <s v="HDFC BANK"/>
    <s v="73758"/>
    <s v="PAVPS5777Q"/>
    <n v="30223"/>
    <n v="30223"/>
    <n v="0"/>
    <n v="12089"/>
    <n v="12089"/>
    <n v="0"/>
    <n v="3325"/>
    <n v="3325"/>
    <n v="0"/>
    <n v="0"/>
    <n v="0"/>
    <n v="0"/>
    <n v="7556"/>
    <n v="7556"/>
    <n v="0"/>
    <n v="0"/>
    <n v="0"/>
    <n v="0"/>
    <n v="20565"/>
    <n v="20565"/>
    <n v="0"/>
    <n v="0"/>
    <n v="0"/>
    <n v="0"/>
    <n v="0"/>
    <n v="0"/>
    <n v="0"/>
    <n v="0"/>
    <n v="0"/>
    <n v="0"/>
    <n v="0"/>
    <n v="0"/>
    <n v="0"/>
    <n v="0"/>
    <n v="73758"/>
    <n v="7375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71758"/>
    <s v="0"/>
    <s v="0"/>
    <n v="71758"/>
  </r>
  <r>
    <s v="FS449"/>
    <s v="Akash HN"/>
    <x v="4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53057681"/>
    <s v="HDFC BANK"/>
    <s v="89345"/>
    <s v="CMNPA1976Q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50"/>
    <s v="Rasamsetti Karthik Raja"/>
    <x v="4"/>
    <s v="16-08-2023"/>
    <s v="N.A"/>
    <s v="2025-11"/>
    <s v="Success"/>
    <s v="N.A"/>
    <s v=""/>
    <s v="31"/>
    <s v="0"/>
    <s v="0"/>
    <s v="N.A"/>
    <s v="0"/>
    <s v="0"/>
    <s v="31"/>
    <s v="31"/>
    <s v="Software Engineer I"/>
    <s v="Delivery-IN"/>
    <s v="Hyderabad"/>
    <s v="Telangana "/>
    <s v="50100653057247"/>
    <s v="HDFC BANK"/>
    <s v="32496"/>
    <s v="FFFPR0291D"/>
    <n v="13718"/>
    <n v="13718"/>
    <n v="0"/>
    <n v="5487"/>
    <n v="5487"/>
    <n v="0"/>
    <n v="1509"/>
    <n v="1509"/>
    <n v="0"/>
    <n v="0"/>
    <n v="0"/>
    <n v="0"/>
    <n v="3430"/>
    <n v="3430"/>
    <n v="0"/>
    <n v="0"/>
    <n v="0"/>
    <n v="0"/>
    <n v="8352"/>
    <n v="8352"/>
    <n v="0"/>
    <n v="0"/>
    <n v="0"/>
    <n v="0"/>
    <n v="0"/>
    <n v="0"/>
    <n v="0"/>
    <n v="0"/>
    <n v="0"/>
    <n v="0"/>
    <n v="0"/>
    <n v="0"/>
    <n v="0"/>
    <n v="0"/>
    <n v="32496"/>
    <n v="32496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0496"/>
    <s v="0"/>
    <s v="0"/>
    <n v="30496"/>
  </r>
  <r>
    <s v="FS451"/>
    <s v="Devulapally Ruchitha"/>
    <x v="4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53057718"/>
    <s v="HDFC BANK"/>
    <s v="89345"/>
    <s v="EDAPR0511N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52"/>
    <s v="Mannem Shirisha"/>
    <x v="4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53057514"/>
    <s v="HDFC BANK"/>
    <s v="65964"/>
    <s v="OQRPS1667G"/>
    <n v="27106"/>
    <n v="27106"/>
    <n v="0"/>
    <n v="10842"/>
    <n v="10842"/>
    <n v="0"/>
    <n v="2982"/>
    <n v="2982"/>
    <n v="0"/>
    <n v="0"/>
    <n v="0"/>
    <n v="0"/>
    <n v="6776"/>
    <n v="6776"/>
    <n v="0"/>
    <n v="0"/>
    <n v="0"/>
    <n v="0"/>
    <n v="18258"/>
    <n v="18258"/>
    <n v="0"/>
    <n v="0"/>
    <n v="0"/>
    <n v="0"/>
    <n v="0"/>
    <n v="0"/>
    <n v="0"/>
    <n v="0"/>
    <n v="0"/>
    <n v="0"/>
    <n v="0"/>
    <n v="0"/>
    <n v="0"/>
    <n v="0"/>
    <n v="65964"/>
    <n v="6596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3964"/>
    <s v="0"/>
    <s v="0"/>
    <n v="63964"/>
  </r>
  <r>
    <s v="FS454"/>
    <s v="Dunaboyina Jyothi Sai Teja"/>
    <x v="4"/>
    <s v="16-08-2023"/>
    <s v="N.A"/>
    <s v="2025-11"/>
    <s v="Success"/>
    <s v="N.A"/>
    <s v=""/>
    <s v="31"/>
    <s v="0"/>
    <s v="0"/>
    <s v="N.A"/>
    <s v="0"/>
    <s v="0"/>
    <s v="31"/>
    <s v="31"/>
    <s v="Software Development Engineer in Test - I"/>
    <s v="Support Function-IN"/>
    <s v="Hyderabad"/>
    <s v="Telangana "/>
    <s v="50100653058595"/>
    <s v="HDFC BANK"/>
    <s v="89345"/>
    <s v="CCVPJ7978R"/>
    <n v="36458"/>
    <n v="36458"/>
    <n v="0"/>
    <n v="14583"/>
    <n v="14583"/>
    <n v="0"/>
    <n v="4010"/>
    <n v="4010"/>
    <n v="0"/>
    <n v="0"/>
    <n v="0"/>
    <n v="0"/>
    <n v="9115"/>
    <n v="9115"/>
    <n v="0"/>
    <n v="0"/>
    <n v="0"/>
    <n v="0"/>
    <n v="25179"/>
    <n v="25179"/>
    <n v="0"/>
    <n v="0"/>
    <n v="0"/>
    <n v="0"/>
    <n v="0"/>
    <n v="0"/>
    <n v="0"/>
    <n v="0"/>
    <n v="0"/>
    <n v="0"/>
    <n v="0"/>
    <n v="0"/>
    <n v="0"/>
    <n v="0"/>
    <n v="89345"/>
    <n v="8934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87345"/>
    <s v="0"/>
    <s v="0"/>
    <n v="87345"/>
  </r>
  <r>
    <s v="FS458"/>
    <s v="Kotireddy Gudise"/>
    <x v="5"/>
    <s v="30-08-2023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50100620190452"/>
    <s v="HDFC BANK"/>
    <s v="266296"/>
    <s v="ATOPG9136G"/>
    <n v="111889"/>
    <n v="111889"/>
    <n v="0"/>
    <n v="44756"/>
    <n v="44756"/>
    <n v="0"/>
    <n v="12308"/>
    <n v="12308"/>
    <n v="0"/>
    <n v="0"/>
    <n v="0"/>
    <n v="0"/>
    <n v="10000"/>
    <n v="10000"/>
    <n v="0"/>
    <n v="0"/>
    <n v="0"/>
    <n v="0"/>
    <n v="87343"/>
    <n v="87343"/>
    <n v="0"/>
    <n v="0"/>
    <n v="0"/>
    <n v="0"/>
    <n v="0"/>
    <n v="0"/>
    <n v="0"/>
    <n v="0"/>
    <n v="0"/>
    <n v="0"/>
    <n v="0"/>
    <n v="0"/>
    <n v="0"/>
    <n v="0"/>
    <n v="266296"/>
    <n v="266296"/>
    <n v="0"/>
    <n v="0"/>
    <n v="44735"/>
    <n v="200"/>
    <n v="0"/>
    <n v="0"/>
    <n v="13427"/>
    <n v="0"/>
    <n v="13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362"/>
    <n v="207934"/>
    <s v="0"/>
    <s v="0"/>
    <n v="207934"/>
  </r>
  <r>
    <s v="FS467"/>
    <s v="Venkatesh Vysyaraju"/>
    <x v="0"/>
    <s v="05-02-2024"/>
    <s v="N.A"/>
    <s v="2025-11"/>
    <s v="Success"/>
    <s v="N.A"/>
    <s v=""/>
    <s v="31"/>
    <s v="0"/>
    <s v="0"/>
    <s v="N.A"/>
    <s v="0"/>
    <s v="0"/>
    <s v="31"/>
    <s v="31"/>
    <s v="Associate Director- Business Development"/>
    <s v="Recruitment-IN"/>
    <s v="Hyderabad"/>
    <s v="Telangana "/>
    <s v="05451050122557"/>
    <s v="HDFC BANK"/>
    <s v="226662"/>
    <s v="AGQPV0481Q"/>
    <n v="91385"/>
    <n v="91385"/>
    <n v="0"/>
    <n v="36554"/>
    <n v="36554"/>
    <n v="0"/>
    <n v="10052"/>
    <n v="10052"/>
    <n v="0"/>
    <n v="0"/>
    <n v="0"/>
    <n v="0"/>
    <n v="10000"/>
    <n v="10000"/>
    <n v="0"/>
    <n v="2200"/>
    <n v="2200"/>
    <n v="0"/>
    <n v="76471"/>
    <n v="76471"/>
    <n v="0"/>
    <n v="0"/>
    <n v="0"/>
    <n v="0"/>
    <n v="0"/>
    <n v="0"/>
    <n v="0"/>
    <n v="0"/>
    <n v="0"/>
    <n v="0"/>
    <n v="0"/>
    <n v="0"/>
    <n v="0"/>
    <n v="0"/>
    <n v="226662"/>
    <n v="226662"/>
    <n v="2200"/>
    <n v="0"/>
    <n v="3236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568"/>
    <n v="190094"/>
    <s v="0"/>
    <s v="0"/>
    <n v="190094"/>
  </r>
  <r>
    <s v="FS471"/>
    <s v="Y Mallikarjuna Reddy"/>
    <x v="0"/>
    <s v="28-03-2024"/>
    <s v="N.A"/>
    <s v="2025-11"/>
    <s v="Success"/>
    <s v="N.A"/>
    <s v=""/>
    <s v="31"/>
    <s v="0"/>
    <s v="0"/>
    <s v="N.A"/>
    <s v="0"/>
    <s v="0"/>
    <s v="31"/>
    <s v="31"/>
    <s v="Senior Manager- Learning and Development"/>
    <s v="Recruitment-IN"/>
    <s v="Hyderabad"/>
    <s v="Telangana "/>
    <s v="13781050038636"/>
    <s v="HDFC BANK"/>
    <s v="169651"/>
    <s v="ADZPY4464C"/>
    <n v="68580"/>
    <n v="68580"/>
    <n v="0"/>
    <n v="27432"/>
    <n v="27432"/>
    <n v="0"/>
    <n v="7544"/>
    <n v="7544"/>
    <n v="0"/>
    <n v="0"/>
    <n v="0"/>
    <n v="0"/>
    <n v="10000"/>
    <n v="10000"/>
    <n v="0"/>
    <n v="2200"/>
    <n v="2200"/>
    <n v="0"/>
    <n v="53895"/>
    <n v="53895"/>
    <n v="0"/>
    <n v="0"/>
    <n v="0"/>
    <n v="0"/>
    <n v="0"/>
    <n v="0"/>
    <n v="0"/>
    <n v="0"/>
    <n v="0"/>
    <n v="0"/>
    <n v="0"/>
    <n v="0"/>
    <n v="0"/>
    <n v="0"/>
    <n v="169651"/>
    <n v="169651"/>
    <n v="2200"/>
    <n v="0"/>
    <n v="22087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87"/>
    <n v="143364"/>
    <s v="0"/>
    <s v="0"/>
    <n v="143364"/>
  </r>
  <r>
    <s v="FS472"/>
    <s v="Sreemannarayana Reddy Mayaluri"/>
    <x v="3"/>
    <s v="13-09-2024"/>
    <s v="N.A"/>
    <s v="2025-11"/>
    <s v="Success"/>
    <s v="N.A"/>
    <s v=""/>
    <s v="31"/>
    <s v="0"/>
    <s v="0"/>
    <s v="N.A"/>
    <s v="0"/>
    <s v="0"/>
    <s v="31"/>
    <s v="31"/>
    <s v="Vice President – Operations / Program Director"/>
    <s v="Executive"/>
    <s v="Hyderabad"/>
    <s v="Telangana "/>
    <s v="99999849098915"/>
    <s v="HDFC BANK"/>
    <s v="428400"/>
    <s v="AFYPM4365D"/>
    <n v="180000"/>
    <n v="180000"/>
    <n v="0"/>
    <n v="72000"/>
    <n v="72000"/>
    <n v="0"/>
    <n v="19800"/>
    <n v="19800"/>
    <n v="0"/>
    <n v="0"/>
    <n v="0"/>
    <n v="0"/>
    <n v="10000"/>
    <n v="10000"/>
    <n v="0"/>
    <n v="2200"/>
    <n v="2200"/>
    <n v="0"/>
    <n v="144400"/>
    <n v="144400"/>
    <n v="0"/>
    <n v="0"/>
    <n v="0"/>
    <n v="0"/>
    <n v="0"/>
    <n v="0"/>
    <n v="0"/>
    <n v="0"/>
    <n v="0"/>
    <n v="0"/>
    <n v="0"/>
    <n v="0"/>
    <n v="0"/>
    <n v="0"/>
    <n v="428400"/>
    <n v="428400"/>
    <n v="2200"/>
    <n v="0"/>
    <n v="104962"/>
    <n v="200"/>
    <n v="0"/>
    <n v="0"/>
    <n v="21600"/>
    <n v="0"/>
    <n v="2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962"/>
    <n v="299438"/>
    <s v="0"/>
    <s v="0"/>
    <n v="299438"/>
  </r>
  <r>
    <s v="FS473"/>
    <s v="Balla Sowmya"/>
    <x v="4"/>
    <s v="01-04-2024"/>
    <s v="N.A"/>
    <s v="2025-11"/>
    <s v="Success"/>
    <s v="N.A"/>
    <s v=""/>
    <s v="31"/>
    <s v="0"/>
    <s v="0"/>
    <s v="N.A"/>
    <s v="0"/>
    <s v="0"/>
    <s v="31"/>
    <s v="31"/>
    <s v="QA-Manager/ Architect"/>
    <s v="Delivery-IN"/>
    <s v="Hyderabad"/>
    <s v="Telangana "/>
    <s v="50100080906752"/>
    <s v="HDFC BANK"/>
    <s v="229999"/>
    <s v="BANPB5570Q"/>
    <n v="92719"/>
    <n v="92719"/>
    <n v="0"/>
    <n v="37088"/>
    <n v="37088"/>
    <n v="0"/>
    <n v="10199"/>
    <n v="10199"/>
    <n v="0"/>
    <n v="0"/>
    <n v="0"/>
    <n v="0"/>
    <n v="10000"/>
    <n v="10000"/>
    <n v="0"/>
    <n v="0"/>
    <n v="0"/>
    <n v="0"/>
    <n v="79993"/>
    <n v="79993"/>
    <n v="0"/>
    <n v="0"/>
    <n v="0"/>
    <n v="0"/>
    <n v="0"/>
    <n v="0"/>
    <n v="0"/>
    <n v="0"/>
    <n v="0"/>
    <n v="0"/>
    <n v="0"/>
    <n v="0"/>
    <n v="0"/>
    <n v="0"/>
    <n v="229999"/>
    <n v="229999"/>
    <n v="0"/>
    <n v="0"/>
    <n v="4008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83"/>
    <n v="187916"/>
    <s v="0"/>
    <s v="0"/>
    <n v="187916"/>
  </r>
  <r>
    <s v="FS474"/>
    <s v="Arjun Gowda S"/>
    <x v="9"/>
    <s v="08-05-2024"/>
    <s v="N.A"/>
    <s v="2025-11"/>
    <s v="Success"/>
    <s v="N.A"/>
    <s v=""/>
    <s v="31"/>
    <s v="0"/>
    <s v="0"/>
    <s v="N.A"/>
    <s v="0"/>
    <s v="0"/>
    <s v="31"/>
    <s v="31"/>
    <s v="Lead Engineer"/>
    <s v="Delivery-IN"/>
    <s v="Hyderabad"/>
    <s v="Telangana "/>
    <s v="50100097912602"/>
    <s v="HDFC BANK"/>
    <s v="231128"/>
    <s v="BNHPA4655C"/>
    <n v="85171"/>
    <n v="85171"/>
    <n v="0"/>
    <n v="34069"/>
    <n v="34069"/>
    <n v="0"/>
    <n v="9369"/>
    <n v="9369"/>
    <n v="0"/>
    <n v="0"/>
    <n v="0"/>
    <n v="0"/>
    <n v="10000"/>
    <n v="10000"/>
    <n v="0"/>
    <n v="0"/>
    <n v="0"/>
    <n v="0"/>
    <n v="72519"/>
    <n v="72519"/>
    <n v="0"/>
    <n v="0"/>
    <n v="0"/>
    <n v="0"/>
    <n v="0"/>
    <n v="0"/>
    <n v="20000"/>
    <n v="0"/>
    <n v="0"/>
    <n v="0"/>
    <n v="0"/>
    <n v="0"/>
    <n v="0"/>
    <n v="20000"/>
    <n v="231128"/>
    <n v="231128"/>
    <n v="0"/>
    <n v="0"/>
    <n v="4012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124"/>
    <n v="189004"/>
    <s v="0"/>
    <s v="0"/>
    <n v="189004"/>
  </r>
  <r>
    <s v="FS478"/>
    <s v="Mayuresh Prabhakar Wagh"/>
    <x v="5"/>
    <s v="05-08-2024"/>
    <s v="N.A"/>
    <s v="2025-11"/>
    <s v="Success"/>
    <s v="N.A"/>
    <s v=""/>
    <s v="31"/>
    <s v="0"/>
    <s v="0"/>
    <s v="N.A"/>
    <s v="25"/>
    <s v="0"/>
    <s v="31"/>
    <s v="31"/>
    <s v="Senior Software Engineer"/>
    <s v="Delivery-IN"/>
    <s v="Hyderabad"/>
    <s v="Telangana "/>
    <s v="50100472455201"/>
    <s v="HDFC BANK"/>
    <s v="314081"/>
    <s v="ACBPW2859E"/>
    <n v="131967"/>
    <n v="131967"/>
    <n v="7195"/>
    <n v="52787"/>
    <n v="52787"/>
    <n v="2878"/>
    <n v="14516"/>
    <n v="14516"/>
    <n v="791"/>
    <n v="0"/>
    <n v="0"/>
    <n v="0"/>
    <n v="10000"/>
    <n v="10000"/>
    <n v="0"/>
    <n v="0"/>
    <n v="0"/>
    <n v="0"/>
    <n v="104811"/>
    <n v="104811"/>
    <n v="6259"/>
    <n v="0"/>
    <n v="0"/>
    <n v="0"/>
    <n v="0"/>
    <n v="0"/>
    <n v="0"/>
    <n v="0"/>
    <n v="0"/>
    <n v="0"/>
    <n v="0"/>
    <n v="0"/>
    <n v="0"/>
    <n v="0"/>
    <n v="331204"/>
    <n v="331204"/>
    <n v="0"/>
    <n v="0"/>
    <n v="60712"/>
    <n v="200"/>
    <n v="0"/>
    <n v="0"/>
    <n v="15836"/>
    <n v="863"/>
    <n v="15836"/>
    <n v="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611"/>
    <n v="253593"/>
    <s v="0"/>
    <s v="0"/>
    <n v="253593"/>
  </r>
  <r>
    <s v="FS479"/>
    <s v="Ankit Singh"/>
    <x v="5"/>
    <s v="12-08-2024"/>
    <s v="N.A"/>
    <s v="2025-11"/>
    <s v="Success"/>
    <s v="N.A"/>
    <s v=""/>
    <s v="31"/>
    <s v="0"/>
    <s v="0"/>
    <s v="N.A"/>
    <s v="25"/>
    <s v="0"/>
    <s v="31"/>
    <s v="31"/>
    <s v="Senior Software Engineer"/>
    <s v="Delivery-IN"/>
    <s v="Hyderabad"/>
    <s v="Telangana "/>
    <s v="50100504550315"/>
    <s v="HDFC BANK"/>
    <s v="325116"/>
    <s v="HHTPS2897L"/>
    <n v="136603"/>
    <n v="136603"/>
    <n v="7447"/>
    <n v="54641"/>
    <n v="54641"/>
    <n v="2978"/>
    <n v="15026"/>
    <n v="15026"/>
    <n v="819"/>
    <n v="0"/>
    <n v="0"/>
    <n v="0"/>
    <n v="10000"/>
    <n v="10000"/>
    <n v="0"/>
    <n v="0"/>
    <n v="0"/>
    <n v="0"/>
    <n v="108846"/>
    <n v="108846"/>
    <n v="6480"/>
    <n v="0"/>
    <n v="0"/>
    <n v="0"/>
    <n v="0"/>
    <n v="0"/>
    <n v="0"/>
    <n v="0"/>
    <n v="0"/>
    <n v="0"/>
    <n v="0"/>
    <n v="0"/>
    <n v="0"/>
    <n v="0"/>
    <n v="342840"/>
    <n v="342840"/>
    <n v="0"/>
    <n v="0"/>
    <n v="58148"/>
    <n v="200"/>
    <n v="0"/>
    <n v="0"/>
    <n v="16392"/>
    <n v="894"/>
    <n v="16392"/>
    <n v="8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34"/>
    <n v="267206"/>
    <s v="0"/>
    <s v="0"/>
    <n v="267206"/>
  </r>
  <r>
    <s v="FS482"/>
    <s v="Damarakamalam Goutham Raj,"/>
    <x v="4"/>
    <s v="11-09-2024"/>
    <s v="N.A"/>
    <s v="2025-11"/>
    <s v="Success"/>
    <s v="N.A"/>
    <s v=""/>
    <s v="31"/>
    <s v="0"/>
    <s v="0"/>
    <s v="N.A"/>
    <s v="25"/>
    <s v="0"/>
    <s v="31"/>
    <s v="31"/>
    <s v="Software development Engineer in test II (SDET-II)"/>
    <s v="Delivery-IN"/>
    <s v="Hyderabad"/>
    <s v="Telangana "/>
    <s v="50100763494721"/>
    <s v="HDFC BANK"/>
    <s v="156740"/>
    <s v="CTAPD1250J"/>
    <n v="65857"/>
    <n v="65857"/>
    <n v="6313"/>
    <n v="26343"/>
    <n v="26343"/>
    <n v="2526"/>
    <n v="7244"/>
    <n v="7244"/>
    <n v="694"/>
    <n v="0"/>
    <n v="0"/>
    <n v="0"/>
    <n v="10000"/>
    <n v="10000"/>
    <n v="0"/>
    <n v="0"/>
    <n v="0"/>
    <n v="0"/>
    <n v="47296"/>
    <n v="47296"/>
    <n v="5493"/>
    <n v="0"/>
    <n v="0"/>
    <n v="0"/>
    <n v="0"/>
    <n v="0"/>
    <n v="0"/>
    <n v="0"/>
    <n v="0"/>
    <n v="0"/>
    <n v="0"/>
    <n v="0"/>
    <n v="0"/>
    <n v="0"/>
    <n v="171766"/>
    <n v="171766"/>
    <n v="0"/>
    <n v="0"/>
    <n v="14530"/>
    <n v="200"/>
    <n v="0"/>
    <n v="0"/>
    <n v="7903"/>
    <n v="757"/>
    <n v="7903"/>
    <n v="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90"/>
    <n v="148376"/>
    <s v="0"/>
    <s v="0"/>
    <n v="148376"/>
  </r>
  <r>
    <s v="FS483"/>
    <s v="Bellam Sreedhar"/>
    <x v="5"/>
    <s v="23-09-2024"/>
    <s v="N.A"/>
    <s v="2025-11"/>
    <s v="Success"/>
    <s v="N.A"/>
    <s v=""/>
    <s v="31"/>
    <s v="1"/>
    <s v="0"/>
    <s v="N.A"/>
    <s v="25"/>
    <s v="0"/>
    <s v="30"/>
    <s v="31"/>
    <s v="Senior Software Engineer"/>
    <s v="Delivery-IN"/>
    <s v="Hyderabad"/>
    <s v="Telangana "/>
    <s v="50100760129200"/>
    <s v="HDFC BANK"/>
    <s v="256210"/>
    <s v="ESHPB2171J"/>
    <n v="103204"/>
    <n v="99875"/>
    <n v="5059"/>
    <n v="41282"/>
    <n v="39950"/>
    <n v="2024"/>
    <n v="11353"/>
    <n v="10987"/>
    <n v="557"/>
    <n v="0"/>
    <n v="0"/>
    <n v="0"/>
    <n v="10000"/>
    <n v="9677"/>
    <n v="0"/>
    <n v="0"/>
    <n v="0"/>
    <n v="0"/>
    <n v="90371"/>
    <n v="87456"/>
    <n v="5008"/>
    <n v="0"/>
    <n v="0"/>
    <n v="0"/>
    <n v="0"/>
    <n v="0"/>
    <n v="0"/>
    <n v="0"/>
    <n v="0"/>
    <n v="0"/>
    <n v="0"/>
    <n v="0"/>
    <n v="0"/>
    <n v="0"/>
    <n v="260593"/>
    <n v="260593"/>
    <n v="0"/>
    <n v="0"/>
    <n v="40457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57"/>
    <n v="218136"/>
    <s v="0"/>
    <s v="0"/>
    <n v="218136"/>
  </r>
  <r>
    <s v="FS485"/>
    <s v="V  Hema Chandra"/>
    <x v="5"/>
    <s v="25-09-2024"/>
    <s v="N.A"/>
    <s v="2025-11"/>
    <s v="Success"/>
    <s v="N.A"/>
    <s v=""/>
    <s v="31"/>
    <s v="0"/>
    <s v="0"/>
    <s v="N.A"/>
    <s v="25"/>
    <s v="0"/>
    <s v="31"/>
    <s v="31"/>
    <s v="Senior QA - Performance Test Engineer"/>
    <s v="Delivery-IN"/>
    <s v="Hyderabad"/>
    <s v="Telangana "/>
    <s v="50100463811537"/>
    <s v="HDFC BANK"/>
    <s v="147599"/>
    <s v="AMWPH8894B"/>
    <n v="59760"/>
    <n v="59760"/>
    <n v="3831"/>
    <n v="23904"/>
    <n v="23904"/>
    <n v="1533"/>
    <n v="6574"/>
    <n v="6574"/>
    <n v="422"/>
    <n v="0"/>
    <n v="0"/>
    <n v="0"/>
    <n v="10000"/>
    <n v="10000"/>
    <n v="0"/>
    <n v="0"/>
    <n v="0"/>
    <n v="0"/>
    <n v="47361"/>
    <n v="47361"/>
    <n v="3792"/>
    <n v="0"/>
    <n v="0"/>
    <n v="0"/>
    <n v="0"/>
    <n v="0"/>
    <n v="0"/>
    <n v="0"/>
    <n v="0"/>
    <n v="0"/>
    <n v="0"/>
    <n v="0"/>
    <n v="0"/>
    <n v="0"/>
    <n v="157177"/>
    <n v="157177"/>
    <n v="0"/>
    <n v="0"/>
    <n v="1221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13"/>
    <n v="142964"/>
    <s v="0"/>
    <s v="0"/>
    <n v="142964"/>
  </r>
  <r>
    <s v="FS486"/>
    <s v="Anisha Rani"/>
    <x v="11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339"/>
    <s v="HDFC BANK"/>
    <s v="25826"/>
    <s v="ELFPR2636D"/>
    <n v="11051"/>
    <n v="11051"/>
    <n v="-513"/>
    <n v="4420"/>
    <n v="4420"/>
    <n v="-206"/>
    <n v="1216"/>
    <n v="1216"/>
    <n v="-56"/>
    <n v="0"/>
    <n v="0"/>
    <n v="0"/>
    <n v="2763"/>
    <n v="2763"/>
    <n v="-128"/>
    <n v="0"/>
    <n v="0"/>
    <n v="0"/>
    <n v="6376"/>
    <n v="6376"/>
    <n v="2206"/>
    <n v="0"/>
    <n v="0"/>
    <n v="0"/>
    <n v="0"/>
    <n v="0"/>
    <n v="0"/>
    <n v="0"/>
    <n v="0"/>
    <n v="0"/>
    <n v="0"/>
    <n v="0"/>
    <n v="0"/>
    <n v="0"/>
    <n v="27129"/>
    <n v="27129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5129"/>
    <s v="0"/>
    <s v="0"/>
    <n v="25129"/>
  </r>
  <r>
    <s v="FS487"/>
    <s v="Jaggumantri Jyothi Bhargavi"/>
    <x v="11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326"/>
    <s v="HDFC BANK"/>
    <s v="36773"/>
    <s v="GSPPB2115A"/>
    <n v="15429"/>
    <n v="15429"/>
    <n v="3135"/>
    <n v="6172"/>
    <n v="6172"/>
    <n v="1254"/>
    <n v="1697"/>
    <n v="1697"/>
    <n v="345"/>
    <n v="0"/>
    <n v="0"/>
    <n v="0"/>
    <n v="3857"/>
    <n v="3857"/>
    <n v="783"/>
    <n v="0"/>
    <s v="0"/>
    <n v="0"/>
    <n v="9618"/>
    <n v="9618"/>
    <n v="4908"/>
    <n v="0"/>
    <n v="0"/>
    <n v="0"/>
    <n v="0"/>
    <n v="0"/>
    <n v="0"/>
    <n v="0"/>
    <n v="0"/>
    <n v="0"/>
    <n v="0"/>
    <n v="0"/>
    <n v="0"/>
    <n v="0"/>
    <n v="47198"/>
    <n v="47198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5198"/>
    <s v="0"/>
    <s v="0"/>
    <n v="45198"/>
  </r>
  <r>
    <s v="FS488"/>
    <s v="Bayapureddy Mula Rajeswari"/>
    <x v="11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313"/>
    <s v="HDFC BANK"/>
    <s v="26869"/>
    <s v="GNXPB3009N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89"/>
    <s v="Dumpeti Supriya"/>
    <x v="11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342"/>
    <s v="HDFC BANK"/>
    <s v="26869"/>
    <s v="HEIPD4422N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0"/>
    <s v="Rakhi Mandal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289"/>
    <s v="HDFC BANK"/>
    <s v="26869"/>
    <s v="HJRPM3465E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1"/>
    <s v="Ale Keerthi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292"/>
    <s v="HDFC BANK"/>
    <s v="26869"/>
    <s v="DXDPA4935D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2"/>
    <s v="Jeela Mounika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276"/>
    <s v="HDFC BANK"/>
    <s v="26869"/>
    <s v="IDTPM2806Q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3"/>
    <s v="Subhrajita Parida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300"/>
    <s v="HDFC BANK"/>
    <s v="26869"/>
    <s v="HADPP1551H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4"/>
    <s v="Goje Vaishali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250"/>
    <s v="HDFC BANK"/>
    <s v="26869"/>
    <s v="BQKPV0146D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5"/>
    <s v="Katta Shivani"/>
    <x v="4"/>
    <s v="01-10-2024"/>
    <s v="N.A"/>
    <s v="2025-11"/>
    <s v="Success"/>
    <s v="N.A"/>
    <s v=""/>
    <s v="31"/>
    <s v="0"/>
    <s v="0"/>
    <s v="N.A"/>
    <s v="25"/>
    <s v="0"/>
    <s v="31"/>
    <s v="31"/>
    <s v="Associate software engineer"/>
    <s v="Delivery-IN"/>
    <s v="Hyderabad"/>
    <s v="Telangana "/>
    <s v="50100760130263"/>
    <s v="HDFC BANK"/>
    <s v="26869"/>
    <s v="IRYPK6775H"/>
    <n v="11468"/>
    <n v="11468"/>
    <n v="-166"/>
    <n v="4587"/>
    <n v="4587"/>
    <n v="-67"/>
    <n v="1261"/>
    <n v="1261"/>
    <n v="-18"/>
    <n v="0"/>
    <n v="0"/>
    <n v="0"/>
    <n v="2867"/>
    <n v="2867"/>
    <n v="-42"/>
    <n v="0"/>
    <n v="0"/>
    <n v="0"/>
    <n v="6686"/>
    <n v="6686"/>
    <n v="2464"/>
    <n v="0"/>
    <n v="0"/>
    <n v="0"/>
    <n v="0"/>
    <n v="0"/>
    <n v="0"/>
    <n v="0"/>
    <n v="0"/>
    <n v="0"/>
    <n v="0"/>
    <n v="0"/>
    <n v="0"/>
    <n v="0"/>
    <n v="29040"/>
    <n v="2904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7040"/>
    <s v="0"/>
    <s v="0"/>
    <n v="27040"/>
  </r>
  <r>
    <s v="FS497"/>
    <s v="Omkaram Chiranjeevulu"/>
    <x v="5"/>
    <s v="31-10-2024"/>
    <s v="N.A"/>
    <s v="2025-11"/>
    <s v="Success"/>
    <s v="N.A"/>
    <s v=""/>
    <s v="31"/>
    <s v="0"/>
    <s v="0"/>
    <s v="N.A"/>
    <s v="25"/>
    <s v="0"/>
    <s v="31"/>
    <s v="31"/>
    <s v="Senior Software Engineer -Angular"/>
    <s v="Delivery-IN"/>
    <s v="Hyderabad"/>
    <s v="Telangana "/>
    <s v="50100536713492"/>
    <s v="HDFC BANK"/>
    <s v="155622"/>
    <s v="ADBPO9608A"/>
    <n v="62969"/>
    <n v="62969"/>
    <n v="3585"/>
    <n v="25188"/>
    <n v="25188"/>
    <n v="1434"/>
    <n v="6927"/>
    <n v="6927"/>
    <n v="395"/>
    <n v="0"/>
    <n v="0"/>
    <n v="0"/>
    <n v="10000"/>
    <n v="10000"/>
    <n v="0"/>
    <n v="0"/>
    <n v="0"/>
    <n v="0"/>
    <n v="50538"/>
    <n v="50538"/>
    <n v="3548"/>
    <n v="0"/>
    <n v="0"/>
    <n v="0"/>
    <n v="0"/>
    <n v="0"/>
    <n v="0"/>
    <n v="0"/>
    <n v="0"/>
    <n v="0"/>
    <n v="0"/>
    <n v="0"/>
    <n v="0"/>
    <n v="0"/>
    <n v="164584"/>
    <n v="164584"/>
    <n v="0"/>
    <n v="0"/>
    <n v="1410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09"/>
    <n v="148475"/>
    <s v="0"/>
    <s v="0"/>
    <n v="148475"/>
  </r>
  <r>
    <s v="FS498"/>
    <s v="A Pragnasri"/>
    <x v="2"/>
    <s v="25-11-2024"/>
    <s v="N.A"/>
    <s v="2025-11"/>
    <s v="Success"/>
    <s v="N.A"/>
    <s v=""/>
    <s v="31"/>
    <s v="0"/>
    <s v="0"/>
    <s v="N.A"/>
    <s v="0"/>
    <s v="0"/>
    <s v="31"/>
    <s v="31"/>
    <s v="Corporate Experience and Operations Manager"/>
    <s v="Office Operation-IN"/>
    <s v="Hyderabad"/>
    <s v="Telangana "/>
    <s v="50100765174814"/>
    <s v="HDFC BANK"/>
    <s v="62937"/>
    <s v="CFLPP0486H"/>
    <n v="25895"/>
    <n v="25895"/>
    <n v="0"/>
    <n v="10358"/>
    <n v="10358"/>
    <n v="0"/>
    <n v="2848"/>
    <n v="2848"/>
    <n v="0"/>
    <n v="0"/>
    <n v="0"/>
    <n v="0"/>
    <n v="6474"/>
    <n v="6474"/>
    <n v="0"/>
    <n v="0"/>
    <n v="0"/>
    <n v="0"/>
    <n v="17362"/>
    <n v="17362"/>
    <n v="0"/>
    <n v="0"/>
    <n v="0"/>
    <n v="0"/>
    <n v="0"/>
    <n v="0"/>
    <n v="0"/>
    <n v="0"/>
    <n v="0"/>
    <n v="0"/>
    <n v="0"/>
    <n v="0"/>
    <n v="0"/>
    <n v="0"/>
    <n v="62937"/>
    <n v="6293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0937"/>
    <s v="0"/>
    <s v="0"/>
    <n v="60937"/>
  </r>
  <r>
    <s v="FS499"/>
    <s v="Menni Manish"/>
    <x v="4"/>
    <s v="27-11-2024"/>
    <s v="N.A"/>
    <s v="2025-11"/>
    <s v="Success"/>
    <s v="N.A"/>
    <s v=""/>
    <s v="31"/>
    <s v="0"/>
    <s v="0"/>
    <s v="N.A"/>
    <s v="0"/>
    <s v="0"/>
    <s v="31"/>
    <s v="31"/>
    <s v="QA- Automation lead"/>
    <s v="Delivery-IN"/>
    <s v="Hyderabad"/>
    <s v="Telangana "/>
    <s v="40593323288"/>
    <s v="STATE BANK OF INDIA"/>
    <s v="167200"/>
    <s v="DEKPM4471Q"/>
    <n v="67600"/>
    <n v="67600"/>
    <n v="0"/>
    <n v="27040"/>
    <n v="27040"/>
    <n v="0"/>
    <n v="7436"/>
    <n v="7436"/>
    <n v="0"/>
    <n v="0"/>
    <n v="0"/>
    <n v="0"/>
    <n v="10000"/>
    <n v="10000"/>
    <n v="0"/>
    <n v="0"/>
    <n v="0"/>
    <n v="0"/>
    <n v="55124"/>
    <n v="55124"/>
    <n v="0"/>
    <n v="0"/>
    <n v="0"/>
    <n v="0"/>
    <n v="0"/>
    <n v="0"/>
    <n v="0"/>
    <n v="0"/>
    <n v="0"/>
    <n v="0"/>
    <n v="0"/>
    <n v="0"/>
    <n v="0"/>
    <n v="0"/>
    <n v="167200"/>
    <n v="167200"/>
    <n v="0"/>
    <n v="0"/>
    <n v="1611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14"/>
    <n v="149086"/>
    <s v="0"/>
    <s v="0"/>
    <n v="149086"/>
  </r>
  <r>
    <s v="FS500"/>
    <s v="Madamanchi Deepa"/>
    <x v="5"/>
    <s v="28-11-2024"/>
    <s v="N.A"/>
    <s v="2025-11"/>
    <s v="Success"/>
    <s v="N.A"/>
    <s v=""/>
    <s v="31"/>
    <s v="0"/>
    <s v="0"/>
    <s v="N.A"/>
    <s v="0"/>
    <s v="0"/>
    <s v="31"/>
    <s v="31"/>
    <s v="QA Lead - Functional Testing"/>
    <s v="Delivery-IN"/>
    <s v="Hyderabad"/>
    <s v="Telangana "/>
    <s v="50100117434666"/>
    <s v="HDFC BANK"/>
    <s v="156533"/>
    <s v="CENPD7242A"/>
    <n v="63333"/>
    <n v="63333"/>
    <n v="0"/>
    <n v="25333"/>
    <n v="25333"/>
    <n v="0"/>
    <n v="6967"/>
    <n v="6967"/>
    <n v="0"/>
    <n v="0"/>
    <n v="0"/>
    <n v="0"/>
    <n v="10000"/>
    <n v="10000"/>
    <n v="0"/>
    <n v="0"/>
    <n v="0"/>
    <n v="0"/>
    <n v="50900"/>
    <n v="50900"/>
    <n v="0"/>
    <n v="0"/>
    <n v="0"/>
    <n v="0"/>
    <n v="0"/>
    <n v="0"/>
    <n v="0"/>
    <n v="0"/>
    <n v="0"/>
    <n v="0"/>
    <n v="0"/>
    <n v="0"/>
    <n v="0"/>
    <n v="0"/>
    <n v="156533"/>
    <n v="156533"/>
    <n v="0"/>
    <n v="0"/>
    <n v="409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93"/>
    <n v="150440"/>
    <s v="0"/>
    <s v="0"/>
    <n v="150440"/>
  </r>
  <r>
    <s v="FS502"/>
    <s v="Maila Savitha"/>
    <x v="5"/>
    <s v="23-12-2024"/>
    <s v="N.A"/>
    <s v="2025-11"/>
    <s v="Success"/>
    <s v="N.A"/>
    <s v=""/>
    <s v="31"/>
    <s v="0"/>
    <s v="0"/>
    <s v="N.A"/>
    <s v="0"/>
    <s v="0"/>
    <s v="31"/>
    <s v="31"/>
    <s v="Senior Software Engineer -Angular"/>
    <s v="Delivery-IN"/>
    <s v="Hyderabad"/>
    <s v="Telangana "/>
    <s v="41353282759"/>
    <s v="STATE BANK OF INDIA"/>
    <s v="159492"/>
    <s v="CMWPM1908F"/>
    <n v="64517"/>
    <n v="64517"/>
    <n v="0"/>
    <n v="25807"/>
    <n v="25807"/>
    <n v="0"/>
    <n v="7097"/>
    <n v="7097"/>
    <n v="0"/>
    <n v="0"/>
    <n v="0"/>
    <n v="0"/>
    <n v="10000"/>
    <n v="10000"/>
    <n v="0"/>
    <n v="0"/>
    <n v="0"/>
    <n v="0"/>
    <n v="52071"/>
    <n v="52071"/>
    <n v="0"/>
    <n v="0"/>
    <n v="0"/>
    <n v="0"/>
    <n v="0"/>
    <n v="0"/>
    <n v="0"/>
    <n v="0"/>
    <n v="0"/>
    <n v="0"/>
    <n v="0"/>
    <n v="0"/>
    <n v="0"/>
    <n v="0"/>
    <n v="159492"/>
    <n v="159492"/>
    <n v="0"/>
    <n v="0"/>
    <n v="1627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74"/>
    <n v="141218"/>
    <s v="0"/>
    <s v="0"/>
    <n v="141218"/>
  </r>
  <r>
    <s v="FS503"/>
    <s v="Munigadapa Dinesh"/>
    <x v="4"/>
    <s v="31-12-2024"/>
    <s v="N.A"/>
    <s v="2025-11"/>
    <s v="Success"/>
    <s v="N.A"/>
    <s v=""/>
    <s v="31"/>
    <s v="0"/>
    <s v="0"/>
    <s v="N.A"/>
    <s v="0"/>
    <s v="0"/>
    <s v="31"/>
    <s v="31"/>
    <s v="Senior QA Engineer"/>
    <s v="Delivery-IN"/>
    <s v="Hyderabad"/>
    <s v="Telangana "/>
    <s v="50100211832181"/>
    <s v="HDFC BANK"/>
    <s v="175811"/>
    <s v="DIOPM7175M"/>
    <n v="73870"/>
    <n v="73870"/>
    <n v="0"/>
    <n v="29548"/>
    <n v="29548"/>
    <n v="0"/>
    <n v="8126"/>
    <n v="8126"/>
    <n v="0"/>
    <n v="0"/>
    <n v="0"/>
    <n v="0"/>
    <n v="10000"/>
    <n v="10000"/>
    <n v="0"/>
    <n v="0"/>
    <n v="0"/>
    <n v="0"/>
    <n v="54267"/>
    <n v="54267"/>
    <n v="0"/>
    <n v="0"/>
    <n v="0"/>
    <n v="0"/>
    <n v="0"/>
    <n v="0"/>
    <n v="0"/>
    <n v="0"/>
    <n v="0"/>
    <n v="0"/>
    <n v="0"/>
    <n v="0"/>
    <n v="0"/>
    <n v="0"/>
    <n v="175811"/>
    <n v="175811"/>
    <n v="0"/>
    <n v="0"/>
    <n v="18086"/>
    <n v="200"/>
    <n v="0"/>
    <n v="0"/>
    <n v="8864"/>
    <n v="0"/>
    <n v="8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50"/>
    <n v="148661"/>
    <s v="0"/>
    <s v="0"/>
    <n v="148661"/>
  </r>
  <r>
    <s v="FS504"/>
    <s v="GUNDRA SHIVA"/>
    <x v="4"/>
    <s v="02-01-2025"/>
    <s v="N.A"/>
    <s v="2025-11"/>
    <s v="Success"/>
    <s v="N.A"/>
    <s v=""/>
    <s v="31"/>
    <s v="0"/>
    <s v="0"/>
    <s v="N.A"/>
    <s v="0"/>
    <s v="0"/>
    <s v="31"/>
    <s v="31"/>
    <s v="QA-Functional Lead"/>
    <s v="Delivery-IN"/>
    <s v="Hyderabad"/>
    <s v="Telangana "/>
    <s v="50100531646541"/>
    <s v="HDFC BANK"/>
    <s v="134492"/>
    <s v="GNYPS4258D"/>
    <n v="54517"/>
    <n v="54517"/>
    <n v="0"/>
    <n v="21807"/>
    <n v="21807"/>
    <n v="0"/>
    <n v="5997"/>
    <n v="5997"/>
    <n v="0"/>
    <n v="0"/>
    <n v="0"/>
    <n v="0"/>
    <n v="10000"/>
    <n v="10000"/>
    <n v="0"/>
    <n v="0"/>
    <n v="0"/>
    <n v="0"/>
    <n v="42171"/>
    <n v="42171"/>
    <n v="0"/>
    <n v="0"/>
    <n v="0"/>
    <n v="0"/>
    <n v="0"/>
    <n v="0"/>
    <n v="0"/>
    <n v="0"/>
    <n v="0"/>
    <n v="0"/>
    <n v="0"/>
    <n v="0"/>
    <n v="0"/>
    <n v="0"/>
    <n v="134492"/>
    <n v="134492"/>
    <n v="0"/>
    <n v="0"/>
    <n v="960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06"/>
    <n v="122886"/>
    <s v="0"/>
    <s v="0"/>
    <n v="122886"/>
  </r>
  <r>
    <s v="FS505"/>
    <s v="Kommireddy Sai Venkat Kumar"/>
    <x v="0"/>
    <s v="08-01-2025"/>
    <s v="N.A"/>
    <s v="2025-11"/>
    <s v="Success"/>
    <s v="N.A"/>
    <s v=""/>
    <s v="31"/>
    <s v="0"/>
    <s v="0"/>
    <s v="N.A"/>
    <s v="0"/>
    <s v="0"/>
    <s v="31"/>
    <s v="31"/>
    <s v="Senior Manager -Talent Acquisition"/>
    <s v="Recruitment-IN"/>
    <s v="Hyderabad"/>
    <s v="Telangana "/>
    <s v="20523323406"/>
    <s v="STATE BANK OF INDIA"/>
    <s v="138908"/>
    <s v="BEMPK4145M"/>
    <n v="56283"/>
    <n v="56283"/>
    <n v="0"/>
    <n v="22513"/>
    <n v="22513"/>
    <n v="0"/>
    <n v="6191"/>
    <n v="6191"/>
    <n v="0"/>
    <n v="0"/>
    <n v="0"/>
    <n v="0"/>
    <n v="10000"/>
    <n v="10000"/>
    <n v="0"/>
    <n v="2200"/>
    <n v="2200"/>
    <n v="0"/>
    <n v="41721"/>
    <n v="41721"/>
    <n v="0"/>
    <n v="0"/>
    <n v="0"/>
    <n v="0"/>
    <n v="0"/>
    <n v="0"/>
    <n v="0"/>
    <n v="0"/>
    <n v="0"/>
    <n v="0"/>
    <n v="0"/>
    <n v="0"/>
    <n v="0"/>
    <n v="0"/>
    <n v="138908"/>
    <n v="138908"/>
    <n v="2200"/>
    <n v="0"/>
    <n v="1080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03"/>
    <n v="123905"/>
    <s v="0"/>
    <s v="0"/>
    <n v="123905"/>
  </r>
  <r>
    <s v="FS507"/>
    <s v="Arpit Nain"/>
    <x v="4"/>
    <s v="15-01-2025"/>
    <s v="N.A"/>
    <s v="2025-11"/>
    <s v="Success"/>
    <s v="N.A"/>
    <s v=""/>
    <s v="31"/>
    <s v="0"/>
    <s v="0"/>
    <s v="N.A"/>
    <s v="0"/>
    <s v="0"/>
    <s v="31"/>
    <s v="31"/>
    <s v="Senior Technical Consultant"/>
    <s v="Delivery-IN"/>
    <s v="Hyderabad"/>
    <s v="Telangana "/>
    <s v="50100225065421"/>
    <s v="HDFC BANK"/>
    <s v="177100"/>
    <s v="AWYPN8620P"/>
    <n v="70000"/>
    <n v="70000"/>
    <n v="0"/>
    <n v="28000"/>
    <n v="28000"/>
    <n v="0"/>
    <n v="7700"/>
    <n v="7700"/>
    <n v="0"/>
    <n v="0"/>
    <n v="0"/>
    <n v="0"/>
    <n v="10000"/>
    <n v="10000"/>
    <n v="0"/>
    <n v="0"/>
    <n v="0"/>
    <n v="0"/>
    <n v="50900"/>
    <n v="50900"/>
    <n v="0"/>
    <n v="0"/>
    <n v="0"/>
    <n v="0"/>
    <n v="0"/>
    <n v="0"/>
    <n v="10500"/>
    <n v="0"/>
    <n v="0"/>
    <n v="0"/>
    <n v="0"/>
    <n v="0"/>
    <n v="0"/>
    <n v="10500"/>
    <n v="177100"/>
    <n v="177100"/>
    <n v="0"/>
    <n v="0"/>
    <n v="18311"/>
    <n v="200"/>
    <n v="0"/>
    <n v="0"/>
    <n v="8400"/>
    <n v="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11"/>
    <n v="150189"/>
    <s v="0"/>
    <s v="0"/>
    <n v="150189"/>
  </r>
  <r>
    <s v="FS508"/>
    <s v="Kukkala Ramya"/>
    <x v="5"/>
    <s v="20-01-2025"/>
    <s v="N.A"/>
    <s v="2025-11"/>
    <s v="Success"/>
    <s v="N.A"/>
    <s v=""/>
    <s v="31"/>
    <s v="0"/>
    <s v="0"/>
    <s v="N.A"/>
    <s v="0"/>
    <s v="0"/>
    <s v="31"/>
    <s v="31"/>
    <s v="QA Lead - Functional Testing"/>
    <s v="Delivery-IN"/>
    <s v="Hyderabad"/>
    <s v="Telangana "/>
    <s v="50100483336254"/>
    <s v="HDFC BANK"/>
    <s v="148567"/>
    <s v="DYDPK8982D"/>
    <n v="60147"/>
    <n v="60147"/>
    <n v="0"/>
    <n v="24059"/>
    <n v="24059"/>
    <n v="0"/>
    <n v="6616"/>
    <n v="6616"/>
    <n v="0"/>
    <n v="0"/>
    <n v="0"/>
    <n v="0"/>
    <n v="10000"/>
    <n v="10000"/>
    <n v="0"/>
    <n v="0"/>
    <n v="0"/>
    <n v="0"/>
    <n v="47745"/>
    <n v="47745"/>
    <n v="0"/>
    <n v="0"/>
    <n v="0"/>
    <n v="0"/>
    <n v="0"/>
    <n v="0"/>
    <n v="0"/>
    <n v="0"/>
    <n v="0"/>
    <n v="0"/>
    <n v="0"/>
    <n v="0"/>
    <n v="0"/>
    <n v="0"/>
    <n v="148567"/>
    <n v="148567"/>
    <n v="0"/>
    <n v="0"/>
    <n v="1226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68"/>
    <n v="134299"/>
    <s v="0"/>
    <s v="0"/>
    <n v="134299"/>
  </r>
  <r>
    <s v="FS509"/>
    <s v="Janapati Praveena"/>
    <x v="5"/>
    <s v="23-01-2025"/>
    <s v="N.A"/>
    <s v="2025-11"/>
    <s v="Success"/>
    <s v="N.A"/>
    <s v=""/>
    <s v="31"/>
    <s v="0"/>
    <s v="0"/>
    <s v="N.A"/>
    <s v="0"/>
    <s v="0"/>
    <s v="31"/>
    <s v="31"/>
    <s v="Technical Lead -RPA"/>
    <s v="Product Engineering"/>
    <s v="Hyderabad"/>
    <s v="Telangana "/>
    <s v="50100058048437"/>
    <s v="HDFC BANK"/>
    <s v="198458"/>
    <s v="AYEPJ2196A"/>
    <n v="80103"/>
    <n v="80103"/>
    <n v="0"/>
    <n v="32041"/>
    <n v="32041"/>
    <n v="0"/>
    <n v="8811"/>
    <n v="8811"/>
    <n v="0"/>
    <n v="0"/>
    <n v="0"/>
    <n v="0"/>
    <n v="10000"/>
    <n v="10000"/>
    <n v="0"/>
    <n v="2200"/>
    <n v="2200"/>
    <n v="0"/>
    <n v="65303"/>
    <n v="65303"/>
    <n v="0"/>
    <n v="0"/>
    <n v="0"/>
    <n v="0"/>
    <n v="0"/>
    <n v="0"/>
    <n v="0"/>
    <n v="0"/>
    <n v="0"/>
    <n v="0"/>
    <n v="0"/>
    <n v="0"/>
    <n v="0"/>
    <n v="0"/>
    <n v="198458"/>
    <n v="198458"/>
    <n v="2200"/>
    <n v="0"/>
    <n v="3853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38"/>
    <n v="155720"/>
    <s v="0"/>
    <s v="0"/>
    <n v="155720"/>
  </r>
  <r>
    <s v="FS510"/>
    <s v="Sahukari Ananda Rao"/>
    <x v="5"/>
    <s v="05-02-2025"/>
    <s v="N.A"/>
    <s v="2025-11"/>
    <s v="Success"/>
    <s v="N.A"/>
    <s v=""/>
    <s v="31"/>
    <s v="0"/>
    <s v="0"/>
    <s v="N.A"/>
    <s v="0"/>
    <s v="0"/>
    <s v="31"/>
    <s v="31"/>
    <s v="Technical Lead"/>
    <s v="Product Engineering"/>
    <s v="Hyderabad"/>
    <s v="Telangana "/>
    <s v="50100347253839"/>
    <s v="HDFC BANK"/>
    <s v="257133"/>
    <s v="CDKPR2160M"/>
    <n v="103573"/>
    <n v="103573"/>
    <n v="0"/>
    <n v="41429"/>
    <n v="41429"/>
    <n v="0"/>
    <n v="11393"/>
    <n v="11393"/>
    <n v="0"/>
    <n v="0"/>
    <n v="0"/>
    <n v="0"/>
    <n v="10000"/>
    <n v="10000"/>
    <n v="0"/>
    <n v="0"/>
    <n v="0"/>
    <n v="0"/>
    <n v="90738"/>
    <n v="90738"/>
    <n v="0"/>
    <n v="0"/>
    <n v="0"/>
    <n v="0"/>
    <n v="0"/>
    <n v="0"/>
    <n v="0"/>
    <n v="0"/>
    <n v="0"/>
    <n v="0"/>
    <n v="0"/>
    <n v="0"/>
    <n v="0"/>
    <n v="0"/>
    <n v="257133"/>
    <n v="257133"/>
    <n v="0"/>
    <n v="0"/>
    <n v="41875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75"/>
    <n v="213258"/>
    <s v="0"/>
    <s v="0"/>
    <n v="213258"/>
  </r>
  <r>
    <s v="FS512"/>
    <s v="ABHIRAJ KAMALKISHOR KAKANI"/>
    <x v="7"/>
    <s v="17-02-2025"/>
    <d v="2025-11-10T00:00:00"/>
    <s v="2025-11"/>
    <s v="Success"/>
    <s v="N.A"/>
    <s v="Hold Salary"/>
    <s v="31"/>
    <s v="0"/>
    <s v="0"/>
    <s v="N.A"/>
    <s v="0"/>
    <s v="0"/>
    <s v="16"/>
    <s v="16"/>
    <s v="Senior Manager Analytics"/>
    <s v="Delivery-IN"/>
    <s v="Hyderabad"/>
    <s v="Telangana "/>
    <s v="50100143912633"/>
    <s v="HDFC BANK"/>
    <s v="252367"/>
    <s v="BVFPK4139K"/>
    <n v="101667"/>
    <n v="52473"/>
    <n v="0"/>
    <n v="40667"/>
    <n v="20989"/>
    <n v="0"/>
    <n v="11183"/>
    <n v="5772"/>
    <n v="0"/>
    <n v="0"/>
    <n v="0"/>
    <n v="0"/>
    <n v="10000"/>
    <n v="5161"/>
    <n v="0"/>
    <n v="2200"/>
    <n v="1135"/>
    <n v="0"/>
    <n v="86650"/>
    <n v="44723"/>
    <n v="0"/>
    <n v="0"/>
    <n v="0"/>
    <n v="0"/>
    <n v="0"/>
    <n v="0"/>
    <n v="0"/>
    <n v="0"/>
    <n v="0"/>
    <n v="0"/>
    <n v="0"/>
    <n v="0"/>
    <n v="0"/>
    <n v="0"/>
    <n v="130253"/>
    <n v="130253"/>
    <n v="1135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5"/>
    <n v="127118"/>
    <s v="0"/>
    <s v="0"/>
    <n v="127118"/>
  </r>
  <r>
    <s v="FS513"/>
    <s v="Kuthala suresh"/>
    <x v="12"/>
    <s v="17-02-2025"/>
    <s v="N.A"/>
    <s v="2025-11"/>
    <s v="Success"/>
    <s v="N.A"/>
    <s v=""/>
    <s v="31"/>
    <s v="0"/>
    <s v="0"/>
    <s v="N.A"/>
    <s v="0"/>
    <s v="0"/>
    <s v="31"/>
    <s v="31"/>
    <s v="Manager - Finance"/>
    <s v="AR, AP-IN"/>
    <s v="Hyderabad"/>
    <s v="Telangana "/>
    <s v="33069435075"/>
    <s v="STATE BANK OF INDIA"/>
    <s v="118344"/>
    <s v="DDCPK6252E"/>
    <n v="48058"/>
    <n v="48058"/>
    <n v="0"/>
    <n v="19223"/>
    <n v="19223"/>
    <n v="0"/>
    <n v="5286"/>
    <n v="5286"/>
    <n v="0"/>
    <n v="0"/>
    <n v="0"/>
    <n v="0"/>
    <n v="10000"/>
    <n v="10000"/>
    <n v="0"/>
    <n v="0"/>
    <n v="0"/>
    <n v="0"/>
    <n v="35777"/>
    <n v="35777"/>
    <n v="0"/>
    <n v="0"/>
    <n v="0"/>
    <n v="0"/>
    <n v="0"/>
    <n v="0"/>
    <n v="0"/>
    <n v="0"/>
    <n v="0"/>
    <n v="0"/>
    <n v="0"/>
    <n v="0"/>
    <n v="0"/>
    <n v="0"/>
    <n v="118344"/>
    <n v="118344"/>
    <n v="0"/>
    <n v="0"/>
    <n v="708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86"/>
    <n v="109258"/>
    <s v="0"/>
    <s v="0"/>
    <n v="109258"/>
  </r>
  <r>
    <s v="FS514"/>
    <s v="Medishetty Rohith"/>
    <x v="0"/>
    <s v="18-02-2025"/>
    <s v="N.A"/>
    <s v="2025-11"/>
    <s v="Success"/>
    <s v="N.A"/>
    <s v=""/>
    <s v="31"/>
    <s v="0"/>
    <s v="0"/>
    <s v="N.A"/>
    <s v="0"/>
    <s v="0"/>
    <s v="31"/>
    <s v="31"/>
    <s v="Senior Technical Recruiter"/>
    <s v="Recruitment-IN"/>
    <s v="Hyderabad"/>
    <s v="Telangana "/>
    <s v="50100440374505"/>
    <s v="HDFC BANK"/>
    <s v="67367"/>
    <s v="EHLPR0963P"/>
    <n v="21667"/>
    <n v="21667"/>
    <n v="0"/>
    <n v="8667"/>
    <n v="8667"/>
    <n v="0"/>
    <n v="2383"/>
    <n v="2383"/>
    <n v="0"/>
    <n v="0"/>
    <n v="0"/>
    <n v="0"/>
    <n v="5417"/>
    <n v="5417"/>
    <n v="0"/>
    <n v="0"/>
    <n v="0"/>
    <n v="0"/>
    <n v="14233"/>
    <n v="14233"/>
    <n v="0"/>
    <n v="0"/>
    <n v="0"/>
    <n v="15000"/>
    <n v="0"/>
    <n v="0"/>
    <n v="0"/>
    <n v="0"/>
    <n v="0"/>
    <n v="0"/>
    <n v="0"/>
    <n v="0"/>
    <n v="0"/>
    <n v="15000"/>
    <n v="67367"/>
    <n v="6736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65367"/>
    <s v="0"/>
    <s v="0"/>
    <n v="65367"/>
  </r>
  <r>
    <s v="FS516"/>
    <s v="Mantina Akhil Deepak"/>
    <x v="5"/>
    <s v="18-02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42029299062"/>
    <s v="STATE BANK OF INDIA"/>
    <s v="153907"/>
    <s v="CWQPM7318K"/>
    <n v="64667"/>
    <n v="64667"/>
    <n v="0"/>
    <n v="25867"/>
    <n v="25867"/>
    <n v="0"/>
    <n v="7113"/>
    <n v="7113"/>
    <n v="0"/>
    <n v="0"/>
    <n v="0"/>
    <n v="0"/>
    <n v="10000"/>
    <n v="10000"/>
    <n v="0"/>
    <n v="0"/>
    <n v="0"/>
    <n v="0"/>
    <n v="46260"/>
    <n v="46260"/>
    <n v="0"/>
    <n v="0"/>
    <n v="0"/>
    <n v="0"/>
    <n v="0"/>
    <n v="0"/>
    <n v="0"/>
    <n v="0"/>
    <n v="0"/>
    <n v="0"/>
    <n v="0"/>
    <n v="0"/>
    <n v="0"/>
    <n v="0"/>
    <n v="153907"/>
    <n v="153907"/>
    <n v="0"/>
    <n v="0"/>
    <n v="14535"/>
    <n v="200"/>
    <n v="0"/>
    <n v="0"/>
    <n v="7760"/>
    <n v="0"/>
    <n v="7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95"/>
    <n v="131412"/>
    <s v="0"/>
    <s v="0"/>
    <n v="131412"/>
  </r>
  <r>
    <s v="FS517"/>
    <s v="Annapureddy Rajeswari"/>
    <x v="5"/>
    <s v="03-03-2025"/>
    <s v="N.A"/>
    <s v="2025-11"/>
    <s v="Success"/>
    <s v="N.A"/>
    <s v=""/>
    <s v="31"/>
    <s v="0"/>
    <s v="0"/>
    <s v="N.A"/>
    <s v="0"/>
    <s v="0"/>
    <s v="31"/>
    <s v="31"/>
    <s v="Associate software engineer"/>
    <s v="Product Engineering"/>
    <s v="Hyderabad"/>
    <s v="Telangana "/>
    <s v="50100797179881"/>
    <s v="HDFC BANK"/>
    <s v="24320"/>
    <s v="DSOPA1692F"/>
    <n v="10448"/>
    <n v="10448"/>
    <n v="0"/>
    <n v="4179"/>
    <n v="4179"/>
    <n v="0"/>
    <n v="1149"/>
    <n v="1149"/>
    <n v="0"/>
    <n v="0"/>
    <n v="0"/>
    <n v="0"/>
    <n v="2606"/>
    <n v="2606"/>
    <n v="0"/>
    <n v="0"/>
    <n v="0"/>
    <n v="0"/>
    <n v="5938"/>
    <n v="5938"/>
    <n v="0"/>
    <n v="0"/>
    <n v="0"/>
    <n v="0"/>
    <n v="0"/>
    <n v="0"/>
    <n v="0"/>
    <n v="0"/>
    <n v="0"/>
    <n v="0"/>
    <n v="0"/>
    <n v="0"/>
    <n v="0"/>
    <n v="0"/>
    <n v="24320"/>
    <n v="2432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2320"/>
    <s v="0"/>
    <s v="0"/>
    <n v="22320"/>
  </r>
  <r>
    <s v="FS518"/>
    <s v="Goriparthi Naga Sreelatha"/>
    <x v="5"/>
    <s v="03-03-2025"/>
    <s v="N.A"/>
    <s v="2025-11"/>
    <s v="Success"/>
    <s v="N.A"/>
    <s v=""/>
    <s v="31"/>
    <s v="0"/>
    <s v="0"/>
    <s v="N.A"/>
    <s v="0"/>
    <s v="0"/>
    <s v="31"/>
    <s v="31"/>
    <s v="Associate software engineer"/>
    <s v="Product Engineering"/>
    <s v="Hyderabad"/>
    <s v="Telangana "/>
    <s v="50100527071552"/>
    <s v="HDFC BANK"/>
    <s v="24320"/>
    <s v="PGEPS7611J"/>
    <n v="10448"/>
    <n v="10448"/>
    <n v="0"/>
    <n v="4179"/>
    <n v="4179"/>
    <n v="0"/>
    <n v="1149"/>
    <n v="1149"/>
    <n v="0"/>
    <n v="0"/>
    <n v="0"/>
    <n v="0"/>
    <n v="2606"/>
    <n v="2606"/>
    <n v="0"/>
    <n v="0"/>
    <n v="0"/>
    <n v="0"/>
    <n v="5938"/>
    <n v="5938"/>
    <n v="0"/>
    <n v="0"/>
    <n v="0"/>
    <n v="0"/>
    <n v="0"/>
    <n v="0"/>
    <n v="0"/>
    <n v="0"/>
    <n v="0"/>
    <n v="0"/>
    <n v="0"/>
    <n v="0"/>
    <n v="0"/>
    <n v="0"/>
    <n v="24320"/>
    <n v="2432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2320"/>
    <s v="0"/>
    <s v="0"/>
    <n v="22320"/>
  </r>
  <r>
    <s v="FS519"/>
    <s v="CHETANA ANANT NAIK"/>
    <x v="5"/>
    <s v="03-03-2025"/>
    <s v="N.A"/>
    <s v="2025-11"/>
    <s v="Success"/>
    <s v="N.A"/>
    <s v=""/>
    <s v="31"/>
    <s v="0"/>
    <s v="0"/>
    <s v="N.A"/>
    <s v="0"/>
    <s v="0"/>
    <s v="31"/>
    <s v="31"/>
    <s v="Associate software engineer"/>
    <s v="Product Engineering"/>
    <s v="Hyderabad"/>
    <s v="Telangana "/>
    <s v="50100797179829"/>
    <s v="HDFC BANK"/>
    <s v="24320"/>
    <s v="CWXPN2020G"/>
    <n v="10448"/>
    <n v="10448"/>
    <n v="0"/>
    <n v="4179"/>
    <n v="4179"/>
    <n v="0"/>
    <n v="1149"/>
    <n v="1149"/>
    <n v="0"/>
    <n v="0"/>
    <n v="0"/>
    <n v="0"/>
    <n v="2606"/>
    <n v="2606"/>
    <n v="0"/>
    <n v="0"/>
    <n v="0"/>
    <n v="0"/>
    <n v="5938"/>
    <n v="5938"/>
    <n v="0"/>
    <n v="0"/>
    <n v="0"/>
    <n v="0"/>
    <n v="0"/>
    <n v="0"/>
    <n v="0"/>
    <n v="0"/>
    <n v="0"/>
    <n v="0"/>
    <n v="0"/>
    <n v="0"/>
    <n v="0"/>
    <n v="0"/>
    <n v="24320"/>
    <n v="2432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2320"/>
    <s v="0"/>
    <s v="0"/>
    <n v="22320"/>
  </r>
  <r>
    <s v="FS521"/>
    <s v="Sumit Bhowmick"/>
    <x v="13"/>
    <s v="06-03-2025"/>
    <s v="N.A"/>
    <s v="2025-11"/>
    <s v="Success"/>
    <s v="N.A"/>
    <s v=""/>
    <s v="31"/>
    <s v="0"/>
    <s v="0"/>
    <s v="N.A"/>
    <s v="0"/>
    <s v="0"/>
    <s v="31"/>
    <s v="31"/>
    <s v="Director-AI/ML Solutions"/>
    <s v="AI/ML"/>
    <s v="Hyderabad"/>
    <s v="Telangana "/>
    <s v="03341000047837"/>
    <s v="HDFC BANK"/>
    <s v="485707"/>
    <s v="AMTPB2190F"/>
    <n v="204079"/>
    <n v="204079"/>
    <n v="0"/>
    <n v="81631"/>
    <n v="81631"/>
    <n v="0"/>
    <n v="22449"/>
    <n v="22449"/>
    <n v="0"/>
    <n v="0"/>
    <n v="0"/>
    <n v="0"/>
    <n v="10000"/>
    <n v="10000"/>
    <n v="0"/>
    <n v="0"/>
    <n v="0"/>
    <n v="0"/>
    <n v="167548"/>
    <n v="167548"/>
    <n v="0"/>
    <n v="0"/>
    <n v="0"/>
    <n v="0"/>
    <n v="0"/>
    <n v="0"/>
    <n v="0"/>
    <n v="0"/>
    <n v="0"/>
    <n v="0"/>
    <n v="0"/>
    <n v="0"/>
    <n v="0"/>
    <n v="0"/>
    <n v="485707"/>
    <n v="485707"/>
    <n v="0"/>
    <n v="0"/>
    <n v="124510"/>
    <n v="200"/>
    <n v="0"/>
    <n v="0"/>
    <n v="24489"/>
    <n v="0"/>
    <n v="24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199"/>
    <n v="336508"/>
    <s v="0"/>
    <s v="0"/>
    <n v="336508"/>
  </r>
  <r>
    <s v="FS524"/>
    <s v="Puli siddhartha"/>
    <x v="5"/>
    <s v="14-03-2025"/>
    <s v="N.A"/>
    <s v="2025-11"/>
    <s v="Success"/>
    <s v="N.A"/>
    <s v=""/>
    <s v="31"/>
    <s v="0"/>
    <s v="0"/>
    <s v="N.A"/>
    <s v="0"/>
    <s v="0"/>
    <s v="31"/>
    <s v="31"/>
    <s v="Senior QA - Performance Test Engineer"/>
    <s v="Delivery-IN"/>
    <s v="Hyderabad"/>
    <s v="Telangana "/>
    <s v="50100718242427"/>
    <s v="HDFC BANK"/>
    <s v="155700"/>
    <s v="EUQPP7893L"/>
    <n v="63000"/>
    <n v="63000"/>
    <n v="0"/>
    <n v="25200"/>
    <n v="25200"/>
    <n v="0"/>
    <n v="6930"/>
    <n v="6930"/>
    <n v="0"/>
    <n v="0"/>
    <n v="0"/>
    <n v="0"/>
    <n v="10000"/>
    <n v="10000"/>
    <n v="0"/>
    <n v="0"/>
    <n v="0"/>
    <n v="0"/>
    <n v="50570"/>
    <n v="50570"/>
    <n v="0"/>
    <n v="0"/>
    <n v="0"/>
    <n v="0"/>
    <n v="0"/>
    <n v="0"/>
    <n v="0"/>
    <n v="0"/>
    <n v="0"/>
    <n v="0"/>
    <n v="0"/>
    <n v="0"/>
    <n v="0"/>
    <n v="0"/>
    <n v="155700"/>
    <n v="155700"/>
    <n v="0"/>
    <n v="0"/>
    <n v="15832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32"/>
    <n v="137868"/>
    <s v="0"/>
    <s v="0"/>
    <n v="137868"/>
  </r>
  <r>
    <s v="FS525"/>
    <s v="Enugandla Shreevathsa Varma"/>
    <x v="5"/>
    <s v="19-03-2025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52016276942"/>
    <s v="STATE BANK OF INDIA"/>
    <s v="230067"/>
    <s v="ABWPE7943B"/>
    <n v="96667"/>
    <n v="96667"/>
    <n v="0"/>
    <n v="38667"/>
    <n v="38667"/>
    <n v="0"/>
    <n v="10633"/>
    <n v="10633"/>
    <n v="0"/>
    <n v="0"/>
    <n v="0"/>
    <n v="0"/>
    <n v="10000"/>
    <n v="10000"/>
    <n v="0"/>
    <n v="0"/>
    <n v="0"/>
    <n v="0"/>
    <n v="74100"/>
    <n v="74100"/>
    <n v="0"/>
    <n v="0"/>
    <n v="0"/>
    <n v="0"/>
    <n v="0"/>
    <n v="0"/>
    <n v="0"/>
    <n v="0"/>
    <n v="0"/>
    <n v="0"/>
    <n v="0"/>
    <n v="0"/>
    <n v="0"/>
    <n v="0"/>
    <n v="230067"/>
    <n v="230067"/>
    <n v="0"/>
    <n v="0"/>
    <n v="36898"/>
    <n v="200"/>
    <n v="0"/>
    <n v="0"/>
    <n v="11600"/>
    <n v="0"/>
    <n v="1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698"/>
    <n v="181369"/>
    <s v="0"/>
    <s v="0"/>
    <n v="181369"/>
  </r>
  <r>
    <s v="FS527"/>
    <s v="Adarsh Verma"/>
    <x v="5"/>
    <s v="26-03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400188671"/>
    <s v="HDFC BANK"/>
    <s v="202367"/>
    <s v="BTPPV9574F"/>
    <n v="81667"/>
    <n v="81667"/>
    <n v="0"/>
    <n v="32667"/>
    <n v="32667"/>
    <n v="0"/>
    <n v="8983"/>
    <n v="8983"/>
    <n v="0"/>
    <n v="0"/>
    <n v="0"/>
    <n v="0"/>
    <n v="10000"/>
    <n v="10000"/>
    <n v="0"/>
    <n v="0"/>
    <n v="0"/>
    <n v="0"/>
    <n v="69050"/>
    <n v="69050"/>
    <n v="0"/>
    <n v="0"/>
    <n v="0"/>
    <n v="0"/>
    <n v="0"/>
    <n v="0"/>
    <n v="0"/>
    <n v="0"/>
    <n v="0"/>
    <n v="0"/>
    <n v="0"/>
    <n v="0"/>
    <n v="0"/>
    <n v="0"/>
    <n v="202367"/>
    <n v="202367"/>
    <n v="0"/>
    <n v="0"/>
    <n v="2571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19"/>
    <n v="174648"/>
    <s v="0"/>
    <s v="0"/>
    <n v="174648"/>
  </r>
  <r>
    <s v="FS528"/>
    <s v="Radheshyam Saini"/>
    <x v="5"/>
    <s v="27-03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522442114"/>
    <s v="HDFC BANK"/>
    <s v="205700"/>
    <s v="MZQPS3120J"/>
    <n v="77000"/>
    <n v="77000"/>
    <n v="0"/>
    <n v="30800"/>
    <n v="30800"/>
    <n v="0"/>
    <n v="8470"/>
    <n v="8470"/>
    <n v="0"/>
    <n v="0"/>
    <n v="0"/>
    <n v="0"/>
    <n v="10000"/>
    <n v="10000"/>
    <n v="0"/>
    <n v="0"/>
    <n v="0"/>
    <n v="0"/>
    <n v="64430"/>
    <n v="64430"/>
    <n v="0"/>
    <n v="0"/>
    <n v="0"/>
    <n v="0"/>
    <n v="0"/>
    <n v="0"/>
    <n v="15000"/>
    <n v="0"/>
    <n v="0"/>
    <n v="0"/>
    <n v="0"/>
    <n v="0"/>
    <n v="0"/>
    <n v="15000"/>
    <n v="205700"/>
    <n v="205700"/>
    <n v="0"/>
    <n v="0"/>
    <n v="2334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43"/>
    <n v="180357"/>
    <s v="0"/>
    <s v="0"/>
    <n v="180357"/>
  </r>
  <r>
    <s v="FS529"/>
    <s v="Modugu Jawahar Babu"/>
    <x v="5"/>
    <s v="01-04-2025"/>
    <s v="N.A"/>
    <s v="2025-11"/>
    <s v="Success"/>
    <s v="N.A"/>
    <s v=""/>
    <s v="31"/>
    <s v="0"/>
    <s v="0"/>
    <s v="N.A"/>
    <s v="0"/>
    <s v="0"/>
    <s v="31"/>
    <s v="31"/>
    <s v="Senior QA - Performance Test Engineer"/>
    <s v="Delivery-IN"/>
    <s v="Hyderabad"/>
    <s v="Telangana "/>
    <s v="20027428313"/>
    <s v="STATE BANK OF INDIA"/>
    <s v="156533"/>
    <s v="BUEPM6837Q"/>
    <n v="63333"/>
    <n v="63333"/>
    <n v="0"/>
    <n v="25333"/>
    <n v="25333"/>
    <n v="0"/>
    <n v="6967"/>
    <n v="6967"/>
    <n v="0"/>
    <n v="0"/>
    <n v="0"/>
    <n v="0"/>
    <n v="10000"/>
    <n v="10000"/>
    <n v="0"/>
    <n v="0"/>
    <n v="0"/>
    <n v="0"/>
    <n v="50900"/>
    <n v="50900"/>
    <n v="0"/>
    <n v="0"/>
    <n v="0"/>
    <n v="0"/>
    <n v="0"/>
    <n v="0"/>
    <n v="0"/>
    <n v="0"/>
    <n v="0"/>
    <n v="0"/>
    <n v="0"/>
    <n v="0"/>
    <n v="0"/>
    <n v="0"/>
    <n v="156533"/>
    <n v="156533"/>
    <n v="0"/>
    <n v="0"/>
    <n v="1363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36"/>
    <n v="140897"/>
    <s v="0"/>
    <s v="0"/>
    <n v="140897"/>
  </r>
  <r>
    <s v="FS530"/>
    <s v="SITHARLA BHOJESH"/>
    <x v="5"/>
    <s v="02-04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440968421"/>
    <s v="HDFC BANK"/>
    <s v="123200"/>
    <s v="EGPPB0181J"/>
    <n v="50000"/>
    <n v="50000"/>
    <n v="0"/>
    <n v="20000"/>
    <n v="20000"/>
    <n v="0"/>
    <n v="5500"/>
    <n v="5500"/>
    <n v="0"/>
    <n v="0"/>
    <n v="0"/>
    <n v="0"/>
    <n v="10000"/>
    <n v="10000"/>
    <n v="0"/>
    <n v="2200"/>
    <n v="2200"/>
    <n v="0"/>
    <n v="35500"/>
    <n v="35500"/>
    <n v="0"/>
    <n v="0"/>
    <n v="0"/>
    <n v="0"/>
    <n v="0"/>
    <n v="0"/>
    <n v="0"/>
    <n v="0"/>
    <n v="0"/>
    <n v="0"/>
    <n v="0"/>
    <n v="0"/>
    <n v="0"/>
    <n v="0"/>
    <n v="123200"/>
    <n v="123200"/>
    <n v="2200"/>
    <n v="0"/>
    <n v="763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36"/>
    <n v="111364"/>
    <s v="0"/>
    <s v="0"/>
    <n v="111364"/>
  </r>
  <r>
    <s v="FS531"/>
    <s v="Karre Jayanth"/>
    <x v="5"/>
    <s v="03-04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44013947619"/>
    <s v="STATE BANK OF INDIA"/>
    <s v="204450"/>
    <s v="DJZPK7717M"/>
    <n v="82500"/>
    <n v="82500"/>
    <n v="0"/>
    <n v="33000"/>
    <n v="33000"/>
    <n v="0"/>
    <n v="9075"/>
    <n v="9075"/>
    <n v="0"/>
    <n v="0"/>
    <n v="0"/>
    <n v="0"/>
    <n v="10000"/>
    <n v="10000"/>
    <n v="0"/>
    <n v="2200"/>
    <n v="2200"/>
    <n v="0"/>
    <n v="67675"/>
    <n v="67675"/>
    <n v="0"/>
    <n v="0"/>
    <n v="0"/>
    <n v="0"/>
    <n v="0"/>
    <n v="0"/>
    <n v="0"/>
    <n v="0"/>
    <n v="0"/>
    <n v="0"/>
    <n v="0"/>
    <n v="0"/>
    <n v="0"/>
    <n v="0"/>
    <n v="204450"/>
    <n v="204450"/>
    <n v="2200"/>
    <n v="0"/>
    <n v="24961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61"/>
    <n v="175289"/>
    <s v="0"/>
    <s v="0"/>
    <n v="175289"/>
  </r>
  <r>
    <s v="FS532"/>
    <s v="Haneen Ahemed A"/>
    <x v="5"/>
    <s v="07-04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20394111098"/>
    <s v="STATE BANK OF INDIA"/>
    <s v="206533"/>
    <s v="COAPA9979J"/>
    <n v="83333"/>
    <n v="83333"/>
    <n v="0"/>
    <n v="33333"/>
    <n v="33333"/>
    <n v="0"/>
    <n v="9167"/>
    <n v="9167"/>
    <n v="0"/>
    <n v="0"/>
    <n v="0"/>
    <n v="0"/>
    <n v="10000"/>
    <n v="10000"/>
    <n v="0"/>
    <n v="0"/>
    <n v="0"/>
    <n v="0"/>
    <n v="70700"/>
    <n v="70700"/>
    <n v="0"/>
    <n v="0"/>
    <n v="0"/>
    <n v="0"/>
    <n v="0"/>
    <n v="0"/>
    <n v="0"/>
    <n v="0"/>
    <n v="0"/>
    <n v="0"/>
    <n v="0"/>
    <n v="0"/>
    <n v="0"/>
    <n v="0"/>
    <n v="206533"/>
    <n v="206533"/>
    <n v="0"/>
    <n v="0"/>
    <n v="2592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26"/>
    <n v="178607"/>
    <s v="0"/>
    <s v="0"/>
    <n v="178607"/>
  </r>
  <r>
    <s v="FS534"/>
    <s v="PRAVEEN VASA"/>
    <x v="5"/>
    <s v="14-04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62349303860"/>
    <s v="STATE BANK OF INDIA"/>
    <s v="277667"/>
    <s v="CYAPP6247E"/>
    <n v="116667"/>
    <n v="116667"/>
    <n v="0"/>
    <n v="46667"/>
    <n v="46667"/>
    <n v="0"/>
    <n v="12833"/>
    <n v="12833"/>
    <n v="0"/>
    <n v="0"/>
    <n v="0"/>
    <n v="0"/>
    <n v="10000"/>
    <n v="10000"/>
    <n v="0"/>
    <n v="2200"/>
    <n v="2200"/>
    <n v="0"/>
    <n v="89300"/>
    <n v="89300"/>
    <n v="0"/>
    <n v="0"/>
    <n v="0"/>
    <n v="0"/>
    <n v="0"/>
    <n v="0"/>
    <n v="0"/>
    <n v="0"/>
    <n v="0"/>
    <n v="0"/>
    <n v="0"/>
    <n v="0"/>
    <n v="0"/>
    <n v="0"/>
    <n v="277667"/>
    <n v="277667"/>
    <n v="2200"/>
    <n v="0"/>
    <n v="45319"/>
    <n v="200"/>
    <n v="0"/>
    <n v="0"/>
    <n v="1400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719"/>
    <n v="215948"/>
    <s v="0"/>
    <s v="0"/>
    <n v="215948"/>
  </r>
  <r>
    <s v="FS535"/>
    <s v="MUPPALLA SUMAN"/>
    <x v="5"/>
    <s v="21-04-2025"/>
    <s v="N.A"/>
    <s v="2025-11"/>
    <s v="Success"/>
    <s v="N.A"/>
    <s v=""/>
    <s v="31"/>
    <s v="0"/>
    <s v="0"/>
    <s v="N.A"/>
    <s v="0"/>
    <s v="0"/>
    <s v="31"/>
    <s v="31"/>
    <s v="Technical Lead"/>
    <s v="Delivery-IN"/>
    <s v="Hyderabad"/>
    <s v="Telangana "/>
    <s v="50100220129813"/>
    <s v="HDFC BANK"/>
    <s v="229700"/>
    <s v="CVIPM1961K"/>
    <n v="92600"/>
    <n v="92600"/>
    <n v="0"/>
    <n v="37040"/>
    <n v="37040"/>
    <n v="0"/>
    <n v="10186"/>
    <n v="10186"/>
    <n v="0"/>
    <n v="0"/>
    <n v="0"/>
    <n v="0"/>
    <n v="10000"/>
    <n v="10000"/>
    <n v="0"/>
    <n v="0"/>
    <n v="0"/>
    <n v="0"/>
    <n v="79874"/>
    <n v="79874"/>
    <n v="0"/>
    <n v="0"/>
    <n v="0"/>
    <n v="0"/>
    <n v="0"/>
    <n v="0"/>
    <n v="0"/>
    <n v="0"/>
    <n v="0"/>
    <n v="0"/>
    <n v="0"/>
    <n v="0"/>
    <n v="0"/>
    <n v="0"/>
    <n v="229700"/>
    <n v="229700"/>
    <n v="0"/>
    <n v="0"/>
    <n v="3122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223"/>
    <n v="196477"/>
    <s v="0"/>
    <s v="0"/>
    <n v="196477"/>
  </r>
  <r>
    <s v="FS536"/>
    <s v="A R Danish"/>
    <x v="5"/>
    <s v="24-04-2025"/>
    <d v="2025-11-10T00:00:00"/>
    <s v="2025-11"/>
    <s v="Success"/>
    <s v="N.A"/>
    <s v="Hold Salary"/>
    <s v="31"/>
    <s v="0"/>
    <s v="0"/>
    <s v="N.A"/>
    <s v="0"/>
    <s v="0"/>
    <s v="16"/>
    <s v="16"/>
    <s v="Senior Software Engineer"/>
    <s v="Delivery-IN"/>
    <s v="Hyderabad"/>
    <s v="Telangana "/>
    <s v="50100416824401"/>
    <s v="HDFC BANK"/>
    <s v="183260"/>
    <s v="HACPD2297H"/>
    <n v="77000"/>
    <n v="39742"/>
    <n v="0"/>
    <n v="30800"/>
    <n v="15897"/>
    <n v="0"/>
    <n v="8470"/>
    <n v="4372"/>
    <n v="0"/>
    <n v="0"/>
    <n v="0"/>
    <n v="0"/>
    <n v="10000"/>
    <n v="5161"/>
    <n v="0"/>
    <n v="0"/>
    <n v="0"/>
    <n v="0"/>
    <n v="56990"/>
    <n v="29414"/>
    <n v="0"/>
    <n v="0"/>
    <n v="0"/>
    <n v="0"/>
    <n v="0"/>
    <n v="0"/>
    <n v="0"/>
    <n v="0"/>
    <n v="0"/>
    <n v="0"/>
    <n v="0"/>
    <n v="0"/>
    <n v="0"/>
    <n v="0"/>
    <n v="94586"/>
    <n v="94586"/>
    <n v="0"/>
    <n v="0"/>
    <n v="0"/>
    <n v="200"/>
    <n v="0"/>
    <n v="0"/>
    <n v="4769"/>
    <n v="0"/>
    <n v="47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69"/>
    <n v="89617"/>
    <s v="0"/>
    <s v="0"/>
    <n v="89617"/>
  </r>
  <r>
    <s v="FS537"/>
    <s v="Dasa Sirish Kumar"/>
    <x v="4"/>
    <s v="10-04-2025"/>
    <s v="N.A"/>
    <s v="2025-11"/>
    <s v="Success"/>
    <s v="N.A"/>
    <s v=""/>
    <s v="31"/>
    <s v="0"/>
    <s v="0"/>
    <s v="N.A"/>
    <s v="0"/>
    <s v="0"/>
    <s v="31"/>
    <s v="31"/>
    <s v="Manager -QA/ Senior Tech Architect"/>
    <s v="Delivery-IN"/>
    <s v="Hyderabad"/>
    <s v="Telangana "/>
    <s v="50100788996758"/>
    <s v="HDFC BANK"/>
    <s v="330976"/>
    <s v="BDOPD5051L"/>
    <n v="133110"/>
    <n v="133110"/>
    <n v="0"/>
    <n v="53244"/>
    <n v="53244"/>
    <n v="0"/>
    <n v="14642"/>
    <n v="14642"/>
    <n v="0"/>
    <n v="0"/>
    <n v="0"/>
    <n v="0"/>
    <n v="10000"/>
    <n v="10000"/>
    <n v="0"/>
    <n v="0"/>
    <n v="0"/>
    <n v="0"/>
    <n v="119980"/>
    <n v="119980"/>
    <n v="0"/>
    <n v="0"/>
    <n v="0"/>
    <n v="0"/>
    <n v="0"/>
    <n v="0"/>
    <n v="0"/>
    <n v="0"/>
    <n v="0"/>
    <n v="0"/>
    <n v="0"/>
    <n v="0"/>
    <n v="0"/>
    <n v="0"/>
    <n v="330976"/>
    <n v="330976"/>
    <n v="0"/>
    <n v="0"/>
    <n v="6342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423"/>
    <n v="265553"/>
    <s v="0"/>
    <s v="0"/>
    <n v="265553"/>
  </r>
  <r>
    <s v="FS538"/>
    <s v="Jonnadula Sathish"/>
    <x v="5"/>
    <s v="29-04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170189328"/>
    <s v="HDFC BANK"/>
    <s v="230067"/>
    <s v="BEKPJ6169J"/>
    <n v="96667"/>
    <n v="96667"/>
    <n v="0"/>
    <n v="38667"/>
    <n v="38667"/>
    <n v="0"/>
    <n v="10633"/>
    <n v="10633"/>
    <n v="0"/>
    <n v="0"/>
    <n v="0"/>
    <n v="0"/>
    <n v="10000"/>
    <n v="10000"/>
    <n v="0"/>
    <n v="0"/>
    <n v="0"/>
    <n v="0"/>
    <n v="74100"/>
    <n v="74100"/>
    <n v="0"/>
    <n v="0"/>
    <n v="0"/>
    <n v="0"/>
    <n v="0"/>
    <n v="0"/>
    <n v="0"/>
    <n v="0"/>
    <n v="0"/>
    <n v="0"/>
    <n v="0"/>
    <n v="0"/>
    <n v="0"/>
    <n v="0"/>
    <n v="230067"/>
    <n v="230067"/>
    <n v="0"/>
    <n v="0"/>
    <n v="31318"/>
    <n v="200"/>
    <n v="0"/>
    <n v="0"/>
    <n v="11600"/>
    <n v="0"/>
    <n v="1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118"/>
    <n v="186949"/>
    <s v="0"/>
    <s v="0"/>
    <n v="186949"/>
  </r>
  <r>
    <s v="FS539"/>
    <s v="DEEKONDA SRINIVAS"/>
    <x v="5"/>
    <s v="02-05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804753783"/>
    <s v="HDFC BANK"/>
    <s v="206533"/>
    <s v="CCDPD8832J"/>
    <n v="83333"/>
    <n v="83333"/>
    <n v="0"/>
    <n v="33333"/>
    <n v="33333"/>
    <n v="0"/>
    <n v="9167"/>
    <n v="9167"/>
    <n v="0"/>
    <n v="0"/>
    <n v="0"/>
    <n v="0"/>
    <n v="10000"/>
    <n v="10000"/>
    <n v="0"/>
    <n v="0"/>
    <n v="0"/>
    <n v="0"/>
    <n v="70700"/>
    <n v="70700"/>
    <n v="0"/>
    <n v="0"/>
    <n v="0"/>
    <n v="0"/>
    <n v="0"/>
    <n v="0"/>
    <n v="0"/>
    <n v="0"/>
    <n v="0"/>
    <n v="0"/>
    <n v="0"/>
    <n v="0"/>
    <n v="0"/>
    <n v="0"/>
    <n v="206533"/>
    <n v="206533"/>
    <n v="0"/>
    <n v="0"/>
    <n v="2303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38"/>
    <n v="181495"/>
    <s v="0"/>
    <s v="0"/>
    <n v="181495"/>
  </r>
  <r>
    <s v="FS540"/>
    <s v="KUMMARI GNANESHWAR"/>
    <x v="5"/>
    <s v="02-05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804753757"/>
    <s v="HDFC BANK"/>
    <s v="148200"/>
    <s v="CQOPK0073R"/>
    <n v="60000"/>
    <n v="60000"/>
    <n v="0"/>
    <n v="24000"/>
    <n v="24000"/>
    <n v="0"/>
    <n v="6600"/>
    <n v="6600"/>
    <n v="0"/>
    <n v="0"/>
    <n v="0"/>
    <n v="0"/>
    <n v="10000"/>
    <n v="10000"/>
    <n v="0"/>
    <n v="0"/>
    <n v="0"/>
    <n v="0"/>
    <n v="47600"/>
    <n v="47600"/>
    <n v="0"/>
    <n v="0"/>
    <n v="0"/>
    <n v="0"/>
    <n v="0"/>
    <n v="0"/>
    <n v="0"/>
    <n v="0"/>
    <n v="0"/>
    <n v="0"/>
    <n v="0"/>
    <n v="0"/>
    <n v="0"/>
    <n v="0"/>
    <n v="148200"/>
    <n v="148200"/>
    <n v="0"/>
    <n v="0"/>
    <n v="1042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20"/>
    <n v="135780"/>
    <s v="0"/>
    <s v="0"/>
    <n v="135780"/>
  </r>
  <r>
    <s v="FS541"/>
    <s v="Palakurthi Sudheer"/>
    <x v="0"/>
    <s v="05-05-2025"/>
    <s v="N.A"/>
    <s v="2025-11"/>
    <s v="Success"/>
    <s v="N.A"/>
    <s v=""/>
    <s v="31"/>
    <s v="0"/>
    <s v="0"/>
    <s v="N.A"/>
    <s v="0"/>
    <s v="0"/>
    <s v="31"/>
    <s v="31"/>
    <s v="Director-Talent Acquistion Americas"/>
    <s v="US Staffing"/>
    <s v="Hyderabad"/>
    <s v="Telangana "/>
    <s v="15541610003118"/>
    <s v="HDFC BANK"/>
    <s v="265442"/>
    <s v="AVPPP7284H"/>
    <n v="90217"/>
    <n v="90217"/>
    <n v="0"/>
    <n v="36087"/>
    <n v="36087"/>
    <n v="0"/>
    <n v="9924"/>
    <n v="9924"/>
    <n v="0"/>
    <n v="0"/>
    <n v="0"/>
    <n v="0"/>
    <n v="10000"/>
    <n v="10000"/>
    <n v="0"/>
    <n v="0"/>
    <n v="0"/>
    <n v="0"/>
    <n v="77514"/>
    <n v="77514"/>
    <n v="0"/>
    <n v="0"/>
    <n v="0"/>
    <n v="41700"/>
    <n v="0"/>
    <n v="0"/>
    <n v="0"/>
    <n v="0"/>
    <n v="0"/>
    <n v="0"/>
    <n v="0"/>
    <n v="0"/>
    <n v="0"/>
    <n v="41700"/>
    <n v="265442"/>
    <n v="265442"/>
    <n v="0"/>
    <n v="0"/>
    <n v="2961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18"/>
    <n v="233824"/>
    <s v="0"/>
    <s v="0"/>
    <n v="233824"/>
  </r>
  <r>
    <s v="FS542"/>
    <s v="Pratti Lakshmana Kumar"/>
    <x v="1"/>
    <s v="07-05-2025"/>
    <s v="N.A"/>
    <s v="2025-11"/>
    <s v="Success"/>
    <s v="N.A"/>
    <s v=""/>
    <s v="31"/>
    <s v="0"/>
    <s v="0"/>
    <s v="N.A"/>
    <s v="0"/>
    <s v="0"/>
    <s v="31"/>
    <s v="31"/>
    <s v="Manager -HR"/>
    <s v="Delivery-IN"/>
    <s v="Hyderabad"/>
    <s v="Telangana "/>
    <s v="50100196785151"/>
    <s v="HDFC BANK"/>
    <s v="128972"/>
    <s v="AYXPP2964M"/>
    <n v="54190"/>
    <n v="54190"/>
    <n v="0"/>
    <n v="21676"/>
    <n v="21676"/>
    <n v="0"/>
    <n v="5961"/>
    <n v="5961"/>
    <n v="0"/>
    <n v="0"/>
    <n v="0"/>
    <n v="0"/>
    <n v="10000"/>
    <n v="10000"/>
    <n v="0"/>
    <n v="2200"/>
    <n v="2200"/>
    <n v="0"/>
    <n v="34945"/>
    <n v="34945"/>
    <n v="0"/>
    <n v="0"/>
    <n v="0"/>
    <n v="0"/>
    <n v="0"/>
    <n v="0"/>
    <n v="0"/>
    <n v="0"/>
    <n v="0"/>
    <n v="0"/>
    <n v="0"/>
    <n v="0"/>
    <n v="0"/>
    <n v="0"/>
    <n v="128972"/>
    <n v="128972"/>
    <n v="2200"/>
    <n v="0"/>
    <n v="0"/>
    <n v="200"/>
    <n v="0"/>
    <n v="0"/>
    <n v="6503"/>
    <n v="0"/>
    <n v="6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3"/>
    <n v="120069"/>
    <s v="0"/>
    <s v="0"/>
    <n v="120069"/>
  </r>
  <r>
    <s v="FS543"/>
    <s v="TIRANAM SRI RAVI CHANDRA"/>
    <x v="10"/>
    <s v="12-05-2025"/>
    <s v="N.A"/>
    <s v="2025-11"/>
    <s v="Success"/>
    <s v="N.A"/>
    <s v=""/>
    <s v="31"/>
    <s v="0"/>
    <s v="0"/>
    <s v="N.A"/>
    <s v="0"/>
    <s v="0"/>
    <s v="31"/>
    <s v="31"/>
    <s v="Lead -IT Infrastructure"/>
    <s v="IT Ops-IN"/>
    <s v="Hyderabad"/>
    <s v="Telangana "/>
    <s v="32989690434"/>
    <s v="STATE BANK OF INDIA"/>
    <s v="51775"/>
    <s v="BAQPT3369C"/>
    <n v="21430"/>
    <n v="21430"/>
    <n v="0"/>
    <n v="8572"/>
    <n v="8572"/>
    <n v="0"/>
    <n v="2357"/>
    <n v="2357"/>
    <n v="0"/>
    <n v="0"/>
    <n v="0"/>
    <n v="0"/>
    <n v="5358"/>
    <n v="5358"/>
    <n v="0"/>
    <n v="0"/>
    <n v="0"/>
    <n v="0"/>
    <n v="14058"/>
    <n v="14058"/>
    <n v="0"/>
    <n v="0"/>
    <n v="0"/>
    <n v="0"/>
    <n v="0"/>
    <n v="0"/>
    <n v="0"/>
    <n v="0"/>
    <n v="0"/>
    <n v="0"/>
    <n v="0"/>
    <n v="0"/>
    <n v="0"/>
    <n v="0"/>
    <n v="51775"/>
    <n v="51775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49775"/>
    <s v="0"/>
    <s v="0"/>
    <n v="49775"/>
  </r>
  <r>
    <s v="FS544"/>
    <s v="Najmudin Rain"/>
    <x v="5"/>
    <s v="12-05-2025"/>
    <s v="N.A"/>
    <s v="2025-11"/>
    <s v="Success"/>
    <s v="N.A"/>
    <s v=""/>
    <s v="31"/>
    <s v="0"/>
    <s v="0"/>
    <s v="N.A"/>
    <s v="0"/>
    <s v="0"/>
    <s v="31"/>
    <s v="31"/>
    <s v="Software Engineer"/>
    <s v="Delivery-IN"/>
    <s v="Hyderabad"/>
    <s v="Telangana "/>
    <s v="50100580581100"/>
    <s v="HDFC BANK"/>
    <s v="125200"/>
    <s v="FTGPR4946J"/>
    <n v="34000"/>
    <n v="34000"/>
    <n v="0"/>
    <n v="13600"/>
    <n v="13600"/>
    <n v="0"/>
    <n v="3740"/>
    <n v="3740"/>
    <n v="0"/>
    <n v="0"/>
    <n v="0"/>
    <n v="0"/>
    <n v="8500"/>
    <n v="8500"/>
    <n v="0"/>
    <n v="0"/>
    <n v="0"/>
    <n v="0"/>
    <n v="23360"/>
    <n v="23360"/>
    <n v="0"/>
    <n v="0"/>
    <n v="0"/>
    <n v="0"/>
    <n v="0"/>
    <n v="0"/>
    <n v="22000"/>
    <n v="0"/>
    <n v="0"/>
    <n v="0"/>
    <n v="0"/>
    <n v="0"/>
    <n v="20000"/>
    <n v="42000"/>
    <n v="125200"/>
    <n v="1052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23200"/>
    <s v="0"/>
    <s v="0"/>
    <n v="123200"/>
  </r>
  <r>
    <s v="FS546"/>
    <s v="Nisanth K P"/>
    <x v="5"/>
    <s v="22-05-2025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50100160244815"/>
    <s v="HDFC BANK"/>
    <s v="282800"/>
    <s v="AVDPN7289G"/>
    <n v="110000"/>
    <n v="110000"/>
    <n v="0"/>
    <n v="44000"/>
    <n v="44000"/>
    <n v="0"/>
    <n v="12100"/>
    <n v="12100"/>
    <n v="0"/>
    <n v="0"/>
    <n v="0"/>
    <n v="0"/>
    <n v="10000"/>
    <n v="10000"/>
    <n v="0"/>
    <n v="0"/>
    <n v="0"/>
    <n v="0"/>
    <n v="85700"/>
    <n v="85700"/>
    <n v="0"/>
    <n v="0"/>
    <n v="0"/>
    <n v="0"/>
    <n v="0"/>
    <n v="0"/>
    <n v="21000"/>
    <n v="0"/>
    <n v="0"/>
    <n v="0"/>
    <n v="0"/>
    <n v="0"/>
    <n v="0"/>
    <n v="21000"/>
    <n v="282800"/>
    <n v="282800"/>
    <n v="0"/>
    <n v="0"/>
    <n v="54253"/>
    <n v="200"/>
    <n v="0"/>
    <n v="0"/>
    <n v="1320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653"/>
    <n v="215147"/>
    <s v="0"/>
    <s v="0"/>
    <n v="215147"/>
  </r>
  <r>
    <s v="FS548"/>
    <s v="Suryaprakash Mandalaneni"/>
    <x v="5"/>
    <s v="03-06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250903840"/>
    <s v="HDFC BANK"/>
    <s v="219117"/>
    <s v="CUCPM2914F"/>
    <n v="80767"/>
    <n v="80767"/>
    <n v="0"/>
    <n v="32307"/>
    <n v="32307"/>
    <n v="0"/>
    <n v="8884"/>
    <n v="8884"/>
    <n v="0"/>
    <n v="0"/>
    <n v="0"/>
    <n v="0"/>
    <n v="10000"/>
    <n v="10000"/>
    <n v="0"/>
    <n v="0"/>
    <n v="0"/>
    <n v="0"/>
    <n v="68159"/>
    <n v="68159"/>
    <n v="0"/>
    <n v="0"/>
    <n v="0"/>
    <n v="0"/>
    <n v="0"/>
    <n v="0"/>
    <n v="19000"/>
    <n v="0"/>
    <n v="0"/>
    <n v="0"/>
    <n v="0"/>
    <n v="0"/>
    <n v="0"/>
    <n v="19000"/>
    <n v="219117"/>
    <n v="219117"/>
    <n v="0"/>
    <n v="0"/>
    <n v="2109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98"/>
    <n v="196019"/>
    <s v="0"/>
    <s v="0"/>
    <n v="196019"/>
  </r>
  <r>
    <s v="FS549"/>
    <s v="Tanguturi Madhu Latha"/>
    <x v="0"/>
    <s v="03-06-2025"/>
    <s v="N.A"/>
    <s v="2025-11"/>
    <s v="Success"/>
    <s v="N.A"/>
    <s v=""/>
    <s v="31"/>
    <s v="0"/>
    <s v="0"/>
    <s v="N.A"/>
    <s v="0"/>
    <s v="0"/>
    <s v="31"/>
    <s v="31"/>
    <s v="Executive- Talent Acquisition"/>
    <s v="Recruitment-IN"/>
    <s v="Hyderabad"/>
    <s v="Telangana "/>
    <s v="50100815930580"/>
    <s v="HDFC BANK"/>
    <s v="15333"/>
    <s v="HBZPM2780J"/>
    <n v="6853"/>
    <n v="6853"/>
    <n v="0"/>
    <n v="2741"/>
    <n v="2741"/>
    <n v="0"/>
    <n v="754"/>
    <n v="754"/>
    <n v="0"/>
    <n v="0"/>
    <n v="0"/>
    <n v="0"/>
    <n v="1713"/>
    <n v="1713"/>
    <n v="0"/>
    <n v="0"/>
    <n v="0"/>
    <n v="0"/>
    <n v="3272"/>
    <n v="3272"/>
    <n v="0"/>
    <n v="0"/>
    <n v="0"/>
    <n v="0"/>
    <n v="0"/>
    <n v="0"/>
    <n v="0"/>
    <n v="0"/>
    <n v="0"/>
    <n v="0"/>
    <n v="0"/>
    <n v="0"/>
    <n v="0"/>
    <n v="0"/>
    <n v="15333"/>
    <n v="15333"/>
    <n v="0"/>
    <n v="0"/>
    <n v="0"/>
    <n v="15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0"/>
    <n v="13383"/>
    <s v="0"/>
    <s v="0"/>
    <n v="13383"/>
  </r>
  <r>
    <s v="FS550"/>
    <s v="Neredugomma Rohith Rao"/>
    <x v="5"/>
    <s v="05-06-2025"/>
    <s v="N.A"/>
    <s v="2025-11"/>
    <s v="Success"/>
    <s v="N.A"/>
    <s v=""/>
    <s v="31"/>
    <s v="0"/>
    <s v="0"/>
    <s v="N.A"/>
    <s v="0"/>
    <s v="0"/>
    <s v="31"/>
    <s v="31"/>
    <s v="Lead Software Engineer"/>
    <s v="Delivery-IN"/>
    <s v="Hyderabad"/>
    <s v="Telangana "/>
    <s v="50100726406692"/>
    <s v="HDFC BANK"/>
    <s v="250817"/>
    <s v="AWVPN8678A"/>
    <n v="93847"/>
    <n v="93847"/>
    <n v="0"/>
    <n v="37539"/>
    <n v="37539"/>
    <n v="0"/>
    <n v="10323"/>
    <n v="10323"/>
    <n v="0"/>
    <n v="0"/>
    <n v="0"/>
    <n v="0"/>
    <n v="10000"/>
    <n v="10000"/>
    <n v="0"/>
    <n v="0"/>
    <n v="0"/>
    <n v="0"/>
    <n v="81108"/>
    <n v="81108"/>
    <n v="0"/>
    <n v="0"/>
    <n v="0"/>
    <n v="0"/>
    <n v="0"/>
    <n v="0"/>
    <n v="18000"/>
    <n v="0"/>
    <n v="0"/>
    <n v="0"/>
    <n v="0"/>
    <n v="0"/>
    <n v="0"/>
    <n v="18000"/>
    <n v="250817"/>
    <n v="250817"/>
    <n v="0"/>
    <n v="0"/>
    <n v="2934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48"/>
    <n v="219469"/>
    <s v="0"/>
    <s v="0"/>
    <n v="219469"/>
  </r>
  <r>
    <s v="FS551"/>
    <s v="Sirigireddy Shanthi"/>
    <x v="4"/>
    <s v="09-06-2025"/>
    <s v="N.A"/>
    <s v="2025-11"/>
    <s v="Success"/>
    <s v="N.A"/>
    <s v=""/>
    <s v="31"/>
    <s v="0"/>
    <s v="0"/>
    <s v="N.A"/>
    <s v="0"/>
    <s v="0"/>
    <s v="31"/>
    <s v="31"/>
    <s v="Software Engineer I"/>
    <s v="Delivery-IN"/>
    <s v="Hyderabad"/>
    <s v="Telangana "/>
    <s v="50100800762544"/>
    <s v="HDFC BANK"/>
    <s v="32497"/>
    <s v="CEZPS2714C"/>
    <n v="13719"/>
    <n v="13719"/>
    <n v="0"/>
    <n v="5488"/>
    <n v="5488"/>
    <n v="0"/>
    <n v="1509"/>
    <n v="1509"/>
    <n v="0"/>
    <n v="0"/>
    <n v="0"/>
    <n v="0"/>
    <n v="3430"/>
    <n v="3430"/>
    <n v="0"/>
    <n v="0"/>
    <n v="0"/>
    <n v="0"/>
    <n v="8351"/>
    <n v="8351"/>
    <n v="0"/>
    <n v="0"/>
    <n v="0"/>
    <n v="0"/>
    <n v="0"/>
    <n v="0"/>
    <n v="0"/>
    <n v="0"/>
    <n v="0"/>
    <n v="0"/>
    <n v="0"/>
    <n v="0"/>
    <n v="0"/>
    <n v="0"/>
    <n v="32497"/>
    <n v="3249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30497"/>
    <s v="0"/>
    <s v="0"/>
    <n v="30497"/>
  </r>
  <r>
    <s v="FS552"/>
    <s v="Neha"/>
    <x v="5"/>
    <s v="11-06-2025"/>
    <s v="N.A"/>
    <s v="2025-11"/>
    <s v="Success"/>
    <s v="N.A"/>
    <s v=""/>
    <s v="31"/>
    <s v="0"/>
    <s v="0"/>
    <s v="N.A"/>
    <s v="0"/>
    <s v="0"/>
    <s v="31"/>
    <s v="31"/>
    <s v="Lead Software Engineer"/>
    <s v="Delivery-IN"/>
    <s v="Hyderabad"/>
    <s v="Telangana "/>
    <s v="50100465928083"/>
    <s v="HDFC BANK"/>
    <s v="246708"/>
    <s v="CGVPN6575Q"/>
    <n v="93803"/>
    <n v="93803"/>
    <n v="0"/>
    <n v="37521"/>
    <n v="37521"/>
    <n v="0"/>
    <n v="10318"/>
    <n v="10318"/>
    <n v="0"/>
    <n v="0"/>
    <n v="0"/>
    <n v="0"/>
    <n v="10000"/>
    <n v="10000"/>
    <n v="0"/>
    <n v="0"/>
    <n v="0"/>
    <n v="0"/>
    <n v="81066"/>
    <n v="81066"/>
    <n v="0"/>
    <n v="0"/>
    <n v="0"/>
    <n v="0"/>
    <n v="0"/>
    <n v="0"/>
    <n v="14000"/>
    <n v="0"/>
    <n v="0"/>
    <n v="0"/>
    <n v="0"/>
    <n v="0"/>
    <n v="0"/>
    <n v="14000"/>
    <n v="246708"/>
    <n v="246708"/>
    <n v="0"/>
    <n v="0"/>
    <n v="2752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524"/>
    <n v="217184"/>
    <s v="0"/>
    <s v="0"/>
    <n v="217184"/>
  </r>
  <r>
    <s v="FS554"/>
    <s v="Raghunandan Gundu"/>
    <x v="5"/>
    <s v="26-06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822500517"/>
    <s v="HDFC BANK"/>
    <s v="123200"/>
    <s v="BJOPG3708H"/>
    <n v="50000"/>
    <n v="50000"/>
    <n v="0"/>
    <n v="20000"/>
    <n v="20000"/>
    <n v="0"/>
    <n v="5500"/>
    <n v="5500"/>
    <n v="0"/>
    <n v="0"/>
    <n v="0"/>
    <n v="0"/>
    <n v="10000"/>
    <n v="10000"/>
    <n v="0"/>
    <n v="2200"/>
    <n v="2200"/>
    <n v="0"/>
    <n v="35500"/>
    <n v="35500"/>
    <n v="0"/>
    <n v="0"/>
    <n v="0"/>
    <n v="0"/>
    <n v="0"/>
    <n v="0"/>
    <n v="0"/>
    <n v="0"/>
    <n v="0"/>
    <n v="0"/>
    <n v="0"/>
    <n v="0"/>
    <n v="0"/>
    <n v="0"/>
    <n v="123200"/>
    <n v="123200"/>
    <n v="220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119000"/>
    <s v="0"/>
    <s v="0"/>
    <n v="119000"/>
  </r>
  <r>
    <s v="FS555"/>
    <s v="Bandanadham Lourdhu Raju"/>
    <x v="5"/>
    <s v="26-06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420680066"/>
    <s v="HDFC BANK"/>
    <s v="123200"/>
    <s v="CTAPB8314B"/>
    <n v="50000"/>
    <n v="50000"/>
    <n v="0"/>
    <n v="20000"/>
    <n v="20000"/>
    <n v="0"/>
    <n v="5500"/>
    <n v="5500"/>
    <n v="0"/>
    <n v="0"/>
    <n v="0"/>
    <n v="0"/>
    <n v="10000"/>
    <n v="10000"/>
    <n v="0"/>
    <n v="2200"/>
    <n v="2200"/>
    <n v="0"/>
    <n v="35500"/>
    <n v="35500"/>
    <n v="0"/>
    <n v="0"/>
    <n v="0"/>
    <n v="0"/>
    <n v="0"/>
    <n v="0"/>
    <n v="0"/>
    <n v="0"/>
    <n v="0"/>
    <n v="0"/>
    <n v="0"/>
    <n v="0"/>
    <n v="0"/>
    <n v="0"/>
    <n v="123200"/>
    <n v="123200"/>
    <n v="220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119000"/>
    <s v="0"/>
    <s v="0"/>
    <n v="119000"/>
  </r>
  <r>
    <s v="FS556"/>
    <s v="Chimmiri Ruthvik"/>
    <x v="5"/>
    <s v="07-07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62252565177"/>
    <s v="STATE BANK OF INDIA"/>
    <s v="235050"/>
    <s v="AYWPC0902B"/>
    <n v="86340"/>
    <n v="86340"/>
    <n v="0"/>
    <n v="34536"/>
    <n v="34536"/>
    <n v="0"/>
    <n v="9497"/>
    <n v="9497"/>
    <n v="0"/>
    <n v="0"/>
    <n v="0"/>
    <n v="0"/>
    <n v="10000"/>
    <n v="10000"/>
    <n v="0"/>
    <n v="0"/>
    <n v="0"/>
    <n v="0"/>
    <n v="73677"/>
    <n v="73677"/>
    <n v="0"/>
    <n v="0"/>
    <n v="0"/>
    <n v="0"/>
    <n v="0"/>
    <n v="0"/>
    <n v="21000"/>
    <n v="0"/>
    <n v="0"/>
    <n v="0"/>
    <n v="0"/>
    <n v="0"/>
    <n v="0"/>
    <n v="21000"/>
    <n v="235050"/>
    <n v="235050"/>
    <n v="0"/>
    <n v="0"/>
    <n v="2124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48"/>
    <n v="211802"/>
    <s v="0"/>
    <s v="0"/>
    <n v="211802"/>
  </r>
  <r>
    <s v="FS557"/>
    <s v="Boda Raja"/>
    <x v="5"/>
    <s v="07-07-2025"/>
    <s v="N.A"/>
    <s v="2025-11"/>
    <s v="Success"/>
    <s v="N.A"/>
    <s v=""/>
    <s v="31"/>
    <s v="0"/>
    <s v="0"/>
    <s v="N.A"/>
    <s v="0"/>
    <s v="0"/>
    <s v="31"/>
    <s v="31"/>
    <s v="Associate software engineer"/>
    <s v="Delivery-IN"/>
    <s v="Hyderabad"/>
    <s v="Telangana "/>
    <s v="62418945971"/>
    <s v="STATE BANK OF INDIA"/>
    <s v="24320"/>
    <s v="EUCPR3669Q"/>
    <n v="10448"/>
    <n v="10448"/>
    <n v="0"/>
    <n v="4179"/>
    <n v="4179"/>
    <n v="0"/>
    <n v="1149"/>
    <n v="1149"/>
    <n v="0"/>
    <n v="0"/>
    <n v="0"/>
    <n v="0"/>
    <n v="2612"/>
    <n v="2612"/>
    <n v="0"/>
    <n v="0"/>
    <n v="0"/>
    <n v="0"/>
    <n v="5932"/>
    <n v="5932"/>
    <n v="0"/>
    <n v="0"/>
    <n v="0"/>
    <n v="0"/>
    <n v="0"/>
    <n v="0"/>
    <n v="0"/>
    <n v="0"/>
    <n v="0"/>
    <n v="0"/>
    <n v="0"/>
    <n v="0"/>
    <n v="0"/>
    <n v="0"/>
    <n v="24320"/>
    <n v="2432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2320"/>
    <s v="0"/>
    <s v="0"/>
    <n v="22320"/>
  </r>
  <r>
    <s v="FS558"/>
    <s v="Endla Mohan"/>
    <x v="0"/>
    <s v="16-07-2025"/>
    <s v="N.A"/>
    <s v="2025-11"/>
    <s v="Success"/>
    <s v="N.A"/>
    <s v=""/>
    <s v="31"/>
    <s v="0"/>
    <s v="0"/>
    <s v="N.A"/>
    <s v="0"/>
    <s v="0"/>
    <s v="31"/>
    <s v="31"/>
    <s v="Senior Talent Acquistion Executive - Americas"/>
    <s v="US Staffing"/>
    <s v="Hyderabad"/>
    <s v="Telangana "/>
    <s v="50100408223469"/>
    <s v="HDFC BANK"/>
    <s v="122367"/>
    <s v="EWEPM9621R"/>
    <n v="33667"/>
    <n v="33667"/>
    <n v="0"/>
    <n v="13467"/>
    <n v="13467"/>
    <n v="0"/>
    <n v="3703"/>
    <n v="3703"/>
    <n v="0"/>
    <n v="0"/>
    <n v="0"/>
    <n v="0"/>
    <n v="8417"/>
    <n v="8417"/>
    <n v="0"/>
    <n v="0"/>
    <n v="0"/>
    <n v="0"/>
    <n v="23113"/>
    <n v="23113"/>
    <n v="0"/>
    <n v="0"/>
    <n v="0"/>
    <n v="40000"/>
    <n v="0"/>
    <n v="0"/>
    <n v="0"/>
    <n v="0"/>
    <n v="0"/>
    <n v="0"/>
    <n v="0"/>
    <n v="0"/>
    <n v="0"/>
    <n v="40000"/>
    <n v="122367"/>
    <n v="12236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20367"/>
    <s v="0"/>
    <s v="0"/>
    <n v="120367"/>
  </r>
  <r>
    <s v="FS560"/>
    <s v="Konala Venkata Tammiraju"/>
    <x v="5"/>
    <s v="28-07-2025"/>
    <s v="N.A"/>
    <s v="2025-11"/>
    <s v="Success"/>
    <s v="N.A"/>
    <s v=""/>
    <s v="31"/>
    <s v="0"/>
    <s v="0"/>
    <s v="N.A"/>
    <s v="0"/>
    <s v="0"/>
    <s v="31"/>
    <s v="31"/>
    <s v="Senior Data Engineer"/>
    <s v="Delivery-IN"/>
    <s v="Hyderabad"/>
    <s v="Telangana "/>
    <s v="50100058882451"/>
    <s v="HDFC BANK"/>
    <s v="277667"/>
    <s v="AVJPT3922E"/>
    <n v="116667"/>
    <n v="116667"/>
    <n v="0"/>
    <n v="46667"/>
    <n v="46667"/>
    <n v="0"/>
    <n v="12833"/>
    <n v="12833"/>
    <n v="0"/>
    <n v="0"/>
    <n v="0"/>
    <n v="0"/>
    <n v="10000"/>
    <n v="10000"/>
    <n v="0"/>
    <n v="0"/>
    <n v="0"/>
    <n v="0"/>
    <n v="91500"/>
    <n v="91500"/>
    <n v="0"/>
    <n v="0"/>
    <n v="0"/>
    <n v="0"/>
    <n v="0"/>
    <n v="0"/>
    <n v="0"/>
    <n v="0"/>
    <n v="0"/>
    <n v="0"/>
    <n v="0"/>
    <n v="0"/>
    <n v="0"/>
    <n v="0"/>
    <n v="277667"/>
    <n v="277667"/>
    <n v="0"/>
    <n v="0"/>
    <n v="32619"/>
    <n v="200"/>
    <n v="0"/>
    <n v="0"/>
    <n v="1400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19"/>
    <n v="230848"/>
    <s v="0"/>
    <s v="0"/>
    <n v="230848"/>
  </r>
  <r>
    <s v="FS561"/>
    <s v="Shilpa Ram Koli"/>
    <x v="5"/>
    <s v="04-08-2025"/>
    <s v="N.A"/>
    <s v="2025-11"/>
    <s v="Success"/>
    <s v="N.A"/>
    <s v=""/>
    <s v="31"/>
    <s v="0"/>
    <s v="0"/>
    <s v="N.A"/>
    <s v="0"/>
    <s v="0"/>
    <s v="31"/>
    <s v="31"/>
    <s v="Salesforce Consultant"/>
    <s v="Delivery-IN"/>
    <s v="Hyderabad"/>
    <s v="Telangana "/>
    <s v="50100831450271"/>
    <s v="HDFC BANK"/>
    <s v="94033"/>
    <s v="LCNPK4204L"/>
    <n v="38333"/>
    <n v="38333"/>
    <n v="0"/>
    <n v="15333"/>
    <n v="15333"/>
    <n v="0"/>
    <n v="4217"/>
    <n v="4217"/>
    <n v="0"/>
    <n v="0"/>
    <n v="0"/>
    <n v="0"/>
    <n v="9583"/>
    <n v="9583"/>
    <n v="0"/>
    <n v="2200"/>
    <n v="2200"/>
    <n v="0"/>
    <n v="24367"/>
    <n v="24367"/>
    <n v="0"/>
    <n v="0"/>
    <n v="0"/>
    <n v="0"/>
    <n v="0"/>
    <n v="0"/>
    <n v="0"/>
    <n v="0"/>
    <n v="0"/>
    <n v="0"/>
    <n v="0"/>
    <n v="0"/>
    <n v="0"/>
    <n v="0"/>
    <n v="94033"/>
    <n v="94033"/>
    <n v="220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"/>
    <n v="89833"/>
    <s v="0"/>
    <s v="0"/>
    <n v="89833"/>
  </r>
  <r>
    <s v="FS563"/>
    <s v="Sripathi Venkata Raju"/>
    <x v="5"/>
    <s v="05-08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31852050280"/>
    <s v="STATE BANK OF INDIA"/>
    <s v="173907"/>
    <s v="GFQPS0050P"/>
    <n v="64667"/>
    <n v="64667"/>
    <n v="0"/>
    <n v="25867"/>
    <n v="25867"/>
    <n v="0"/>
    <n v="7113"/>
    <n v="7113"/>
    <n v="0"/>
    <n v="0"/>
    <n v="0"/>
    <n v="0"/>
    <n v="10000"/>
    <n v="10000"/>
    <n v="0"/>
    <n v="0"/>
    <n v="0"/>
    <n v="0"/>
    <n v="46260"/>
    <n v="46260"/>
    <n v="0"/>
    <n v="0"/>
    <n v="0"/>
    <n v="0"/>
    <n v="0"/>
    <n v="0"/>
    <n v="20000"/>
    <n v="0"/>
    <n v="0"/>
    <n v="0"/>
    <n v="0"/>
    <n v="0"/>
    <n v="0"/>
    <n v="20000"/>
    <n v="173907"/>
    <n v="173907"/>
    <n v="0"/>
    <n v="0"/>
    <n v="0"/>
    <n v="200"/>
    <n v="0"/>
    <n v="0"/>
    <n v="7760"/>
    <n v="0"/>
    <n v="7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60"/>
    <n v="165947"/>
    <s v="0"/>
    <s v="0"/>
    <n v="165947"/>
  </r>
  <r>
    <s v="FS564"/>
    <s v="Kundarapu Rajitha"/>
    <x v="5"/>
    <s v="06-08-2025"/>
    <s v="N.A"/>
    <s v="2025-11"/>
    <s v="Success"/>
    <s v="N.A"/>
    <s v=""/>
    <s v="31"/>
    <s v="0"/>
    <s v="0"/>
    <s v="N.A"/>
    <s v="0"/>
    <s v="0"/>
    <s v="31"/>
    <s v="31"/>
    <s v="Lead QA Engineer"/>
    <s v="Delivery-IN"/>
    <s v="Hyderabad"/>
    <s v="Telangana "/>
    <s v="'05181530007173"/>
    <s v="HDFC BANK"/>
    <s v="146767"/>
    <s v="CGTPK6938A"/>
    <n v="61667"/>
    <n v="61667"/>
    <n v="0"/>
    <n v="24667"/>
    <n v="24667"/>
    <n v="0"/>
    <n v="6783"/>
    <n v="6783"/>
    <n v="0"/>
    <n v="0"/>
    <n v="0"/>
    <n v="0"/>
    <n v="10000"/>
    <n v="10000"/>
    <n v="0"/>
    <n v="2200"/>
    <n v="2200"/>
    <n v="0"/>
    <n v="41450"/>
    <n v="41450"/>
    <n v="0"/>
    <n v="0"/>
    <n v="0"/>
    <n v="0"/>
    <n v="0"/>
    <n v="0"/>
    <n v="0"/>
    <n v="0"/>
    <n v="0"/>
    <n v="0"/>
    <n v="0"/>
    <n v="0"/>
    <n v="0"/>
    <n v="0"/>
    <n v="146767"/>
    <n v="146767"/>
    <n v="2200"/>
    <n v="0"/>
    <n v="0"/>
    <n v="200"/>
    <n v="0"/>
    <n v="0"/>
    <n v="7400"/>
    <n v="0"/>
    <n v="7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00"/>
    <n v="136967"/>
    <s v="0"/>
    <s v="0"/>
    <n v="136967"/>
  </r>
  <r>
    <s v="FS566"/>
    <s v="Shankar Gounder"/>
    <x v="4"/>
    <s v="12-08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917010047826850"/>
    <s v="AXIS BANK"/>
    <s v="174533"/>
    <s v="BCEPG7091J"/>
    <n v="73333"/>
    <n v="73333"/>
    <n v="0"/>
    <n v="29333"/>
    <n v="29333"/>
    <n v="0"/>
    <n v="8067"/>
    <n v="8067"/>
    <n v="0"/>
    <n v="0"/>
    <n v="0"/>
    <n v="0"/>
    <n v="10000"/>
    <n v="10000"/>
    <n v="0"/>
    <n v="2200"/>
    <n v="2200"/>
    <n v="0"/>
    <n v="51600"/>
    <n v="51600"/>
    <n v="0"/>
    <n v="0"/>
    <n v="0"/>
    <n v="0"/>
    <n v="0"/>
    <n v="0"/>
    <n v="0"/>
    <n v="0"/>
    <n v="0"/>
    <n v="0"/>
    <n v="0"/>
    <n v="0"/>
    <n v="0"/>
    <n v="0"/>
    <n v="174533"/>
    <n v="174533"/>
    <n v="2200"/>
    <n v="0"/>
    <n v="3583"/>
    <n v="200"/>
    <n v="0"/>
    <n v="0"/>
    <n v="8800"/>
    <n v="0"/>
    <n v="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83"/>
    <n v="159750"/>
    <s v="0"/>
    <s v="0"/>
    <n v="159750"/>
  </r>
  <r>
    <s v="FS567"/>
    <s v="Riaz Ahmed MG"/>
    <x v="5"/>
    <s v="18-08-2025"/>
    <s v="N.A"/>
    <s v="2025-11"/>
    <s v="Success"/>
    <s v="N.A"/>
    <s v=""/>
    <s v="31"/>
    <s v="0"/>
    <s v="0"/>
    <s v="N.A"/>
    <s v="0"/>
    <s v="0"/>
    <s v="31"/>
    <s v="31"/>
    <s v="Senior Software Engineer I"/>
    <s v="Delivery-IN"/>
    <s v="Hyderabad"/>
    <s v="Telangana "/>
    <s v="50100831450117"/>
    <s v="HDFC BANK"/>
    <s v="182117"/>
    <s v="CGAPR5134E"/>
    <n v="73567"/>
    <n v="73567"/>
    <n v="0"/>
    <n v="29427"/>
    <n v="29427"/>
    <n v="0"/>
    <n v="8092"/>
    <n v="8092"/>
    <n v="0"/>
    <n v="0"/>
    <n v="0"/>
    <n v="0"/>
    <n v="10000"/>
    <n v="10000"/>
    <n v="0"/>
    <n v="0"/>
    <n v="0"/>
    <n v="0"/>
    <n v="61031"/>
    <n v="61031"/>
    <n v="0"/>
    <n v="0"/>
    <n v="0"/>
    <n v="0"/>
    <n v="0"/>
    <n v="0"/>
    <n v="0"/>
    <n v="0"/>
    <n v="0"/>
    <n v="0"/>
    <n v="0"/>
    <n v="0"/>
    <n v="0"/>
    <n v="0"/>
    <n v="182117"/>
    <n v="182117"/>
    <n v="0"/>
    <n v="0"/>
    <n v="1109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99"/>
    <n v="169018"/>
    <s v="0"/>
    <s v="0"/>
    <n v="169018"/>
  </r>
  <r>
    <s v="FS568"/>
    <s v="PRANSHU KUMAR SINGH"/>
    <x v="5"/>
    <s v="18-08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248223912"/>
    <s v="HDFC BANK"/>
    <s v="210700"/>
    <s v="FWQPS8950G"/>
    <n v="77000"/>
    <n v="77000"/>
    <n v="0"/>
    <n v="30800"/>
    <n v="30800"/>
    <n v="0"/>
    <n v="8470"/>
    <n v="8470"/>
    <n v="0"/>
    <n v="0"/>
    <n v="0"/>
    <n v="0"/>
    <n v="10000"/>
    <n v="10000"/>
    <n v="0"/>
    <n v="0"/>
    <n v="0"/>
    <n v="0"/>
    <n v="64430"/>
    <n v="64430"/>
    <n v="0"/>
    <n v="0"/>
    <n v="0"/>
    <n v="0"/>
    <n v="0"/>
    <n v="0"/>
    <n v="20000"/>
    <n v="0"/>
    <n v="0"/>
    <n v="0"/>
    <n v="0"/>
    <n v="0"/>
    <n v="0"/>
    <n v="20000"/>
    <n v="210700"/>
    <n v="210700"/>
    <n v="0"/>
    <n v="0"/>
    <n v="13025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25"/>
    <n v="195675"/>
    <s v="0"/>
    <s v="0"/>
    <n v="195675"/>
  </r>
  <r>
    <s v="FS569"/>
    <s v="Kavuri Sree Sumanth"/>
    <x v="4"/>
    <s v="26-08-2025"/>
    <s v="N.A"/>
    <s v="2025-11"/>
    <s v="Success"/>
    <s v="N.A"/>
    <s v=""/>
    <s v="31"/>
    <s v="0"/>
    <s v="0"/>
    <s v="N.A"/>
    <s v="0"/>
    <s v="0"/>
    <s v="31"/>
    <s v="31"/>
    <s v="Senior Platform Engineer"/>
    <s v="Delivery-IN"/>
    <s v="Hyderabad"/>
    <s v="Telangana "/>
    <s v="38511098630"/>
    <s v="STATE BANK OF INDIA"/>
    <s v="215450"/>
    <s v="ELQPK1073J"/>
    <n v="81300"/>
    <n v="81300"/>
    <n v="0"/>
    <n v="32520"/>
    <n v="32520"/>
    <n v="0"/>
    <n v="8943"/>
    <n v="8943"/>
    <n v="0"/>
    <n v="0"/>
    <n v="0"/>
    <n v="0"/>
    <n v="10000"/>
    <n v="10000"/>
    <n v="0"/>
    <n v="0"/>
    <n v="0"/>
    <n v="0"/>
    <n v="68687"/>
    <n v="68687"/>
    <n v="0"/>
    <n v="0"/>
    <n v="0"/>
    <n v="0"/>
    <n v="0"/>
    <n v="0"/>
    <n v="14000"/>
    <n v="0"/>
    <n v="0"/>
    <n v="0"/>
    <n v="0"/>
    <n v="0"/>
    <n v="0"/>
    <n v="14000"/>
    <n v="215450"/>
    <n v="215450"/>
    <n v="0"/>
    <n v="0"/>
    <n v="13339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39"/>
    <n v="200111"/>
    <s v="0"/>
    <s v="0"/>
    <n v="200111"/>
  </r>
  <r>
    <s v="FS570"/>
    <s v="Kongani Venkat Rao"/>
    <x v="14"/>
    <s v="28-08-2025"/>
    <s v="N.A"/>
    <s v="2025-11"/>
    <s v="Success"/>
    <s v="N.A"/>
    <s v=""/>
    <s v="31"/>
    <s v="0"/>
    <s v="0"/>
    <s v="N.A"/>
    <s v="0"/>
    <s v="0"/>
    <s v="31"/>
    <s v="31"/>
    <s v="Senior Vice President - Delivery and Client Success"/>
    <s v="Digital Engineering"/>
    <s v="Hyderabad"/>
    <s v="Telangana "/>
    <s v="03171140005218"/>
    <s v="HDFC BANK"/>
    <s v="594286"/>
    <s v="AISPK4392H"/>
    <n v="249700"/>
    <n v="249700"/>
    <n v="0"/>
    <n v="99880"/>
    <n v="99880"/>
    <n v="0"/>
    <n v="27467"/>
    <n v="27467"/>
    <n v="0"/>
    <n v="0"/>
    <n v="0"/>
    <n v="0"/>
    <n v="10000"/>
    <n v="10000"/>
    <n v="0"/>
    <n v="2200"/>
    <n v="2200"/>
    <n v="0"/>
    <n v="205039"/>
    <n v="205039"/>
    <n v="0"/>
    <n v="0"/>
    <n v="0"/>
    <n v="0"/>
    <n v="0"/>
    <n v="0"/>
    <n v="0"/>
    <n v="0"/>
    <n v="0"/>
    <n v="0"/>
    <n v="0"/>
    <n v="0"/>
    <n v="0"/>
    <n v="0"/>
    <n v="594286"/>
    <n v="594286"/>
    <n v="2200"/>
    <n v="0"/>
    <n v="119234"/>
    <n v="200"/>
    <n v="0"/>
    <n v="0"/>
    <n v="29964"/>
    <n v="0"/>
    <n v="29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598"/>
    <n v="442688"/>
    <s v="0"/>
    <s v="0"/>
    <n v="442688"/>
  </r>
  <r>
    <s v="FS571"/>
    <s v="Bingi Avinash Goud"/>
    <x v="4"/>
    <s v="28-08-2025"/>
    <s v="N.A"/>
    <s v="2025-11"/>
    <s v="Success"/>
    <s v="N.A"/>
    <s v=""/>
    <s v="31"/>
    <s v="0"/>
    <s v="0"/>
    <s v="N.A"/>
    <s v="0"/>
    <s v="0"/>
    <s v="31"/>
    <s v="31"/>
    <s v="Senior QA Engineer"/>
    <s v="Delivery-IN"/>
    <s v="Hyderabad"/>
    <s v="Telangana "/>
    <s v="50100217527652"/>
    <s v="HDFC BANK"/>
    <s v="140117"/>
    <s v="BJLPG7110G"/>
    <n v="56767"/>
    <n v="56767"/>
    <n v="0"/>
    <n v="22707"/>
    <n v="22707"/>
    <n v="0"/>
    <n v="6244"/>
    <n v="6244"/>
    <n v="0"/>
    <n v="0"/>
    <n v="0"/>
    <n v="0"/>
    <n v="10000"/>
    <n v="10000"/>
    <n v="0"/>
    <n v="0"/>
    <n v="0"/>
    <n v="0"/>
    <n v="44399"/>
    <n v="44399"/>
    <n v="0"/>
    <n v="0"/>
    <n v="0"/>
    <n v="0"/>
    <n v="0"/>
    <n v="0"/>
    <n v="0"/>
    <n v="0"/>
    <n v="0"/>
    <n v="0"/>
    <n v="0"/>
    <n v="0"/>
    <n v="0"/>
    <n v="0"/>
    <n v="140117"/>
    <n v="140117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38117"/>
    <s v="0"/>
    <s v="0"/>
    <n v="138117"/>
  </r>
  <r>
    <s v="FS572"/>
    <s v="Kodam Srikanth"/>
    <x v="4"/>
    <s v="28-08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40771434691"/>
    <s v="STATE BANK OF INDIA"/>
    <s v="120533"/>
    <s v="IFNPK6164P"/>
    <n v="48933"/>
    <n v="48933"/>
    <n v="0"/>
    <n v="19573"/>
    <n v="19573"/>
    <n v="0"/>
    <n v="5383"/>
    <n v="5383"/>
    <n v="0"/>
    <n v="0"/>
    <n v="0"/>
    <n v="0"/>
    <n v="10000"/>
    <n v="10000"/>
    <n v="0"/>
    <n v="0"/>
    <n v="0"/>
    <n v="0"/>
    <n v="36644"/>
    <n v="36644"/>
    <n v="0"/>
    <n v="0"/>
    <n v="0"/>
    <n v="0"/>
    <n v="0"/>
    <n v="0"/>
    <n v="0"/>
    <n v="0"/>
    <n v="0"/>
    <n v="0"/>
    <n v="0"/>
    <n v="0"/>
    <n v="0"/>
    <n v="0"/>
    <n v="120533"/>
    <n v="120533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18533"/>
    <s v="0"/>
    <s v="0"/>
    <n v="118533"/>
  </r>
  <r>
    <s v="FS573"/>
    <s v="Vikas Gunvant Jadhawar"/>
    <x v="4"/>
    <s v="28-08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20202833398"/>
    <s v="STATE BANK OF INDIA"/>
    <s v="190667"/>
    <s v="AZTPJ1395B"/>
    <n v="76987"/>
    <n v="76987"/>
    <n v="0"/>
    <n v="30795"/>
    <n v="30795"/>
    <n v="0"/>
    <n v="8469"/>
    <n v="8469"/>
    <n v="0"/>
    <n v="0"/>
    <n v="0"/>
    <n v="0"/>
    <n v="10000"/>
    <n v="10000"/>
    <n v="0"/>
    <n v="0"/>
    <n v="0"/>
    <n v="0"/>
    <n v="64416"/>
    <n v="64416"/>
    <n v="0"/>
    <n v="0"/>
    <n v="0"/>
    <n v="0"/>
    <n v="0"/>
    <n v="0"/>
    <n v="0"/>
    <n v="0"/>
    <n v="0"/>
    <n v="0"/>
    <n v="0"/>
    <n v="0"/>
    <n v="0"/>
    <n v="0"/>
    <n v="190667"/>
    <n v="190667"/>
    <n v="0"/>
    <n v="0"/>
    <n v="7114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14"/>
    <n v="181553"/>
    <s v="0"/>
    <s v="0"/>
    <n v="181553"/>
  </r>
  <r>
    <s v="FS574"/>
    <s v="Hemantha Sai Sekhar Tummalapalli"/>
    <x v="4"/>
    <s v="01-09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832231368"/>
    <s v="HDFC BANK"/>
    <s v="226254"/>
    <s v="AQMPT9223C"/>
    <n v="83222"/>
    <n v="83222"/>
    <n v="0"/>
    <n v="33289"/>
    <n v="33289"/>
    <n v="0"/>
    <n v="9154"/>
    <n v="9154"/>
    <n v="0"/>
    <n v="0"/>
    <n v="0"/>
    <n v="0"/>
    <n v="10000"/>
    <n v="10000"/>
    <n v="0"/>
    <n v="0"/>
    <n v="0"/>
    <n v="0"/>
    <n v="70589"/>
    <n v="70589"/>
    <n v="0"/>
    <n v="0"/>
    <n v="0"/>
    <n v="0"/>
    <n v="0"/>
    <n v="0"/>
    <n v="20000"/>
    <n v="0"/>
    <n v="0"/>
    <n v="0"/>
    <n v="0"/>
    <n v="0"/>
    <n v="0"/>
    <n v="20000"/>
    <n v="226254"/>
    <n v="226254"/>
    <n v="0"/>
    <n v="0"/>
    <n v="13336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36"/>
    <n v="210918"/>
    <s v="0"/>
    <s v="0"/>
    <n v="210918"/>
  </r>
  <r>
    <s v="FS575"/>
    <s v="Ponnaboina Kiran Kumar"/>
    <x v="4"/>
    <s v="08-09-2025"/>
    <s v="N.A"/>
    <s v="2025-11"/>
    <s v="Success"/>
    <s v="N.A"/>
    <s v=""/>
    <s v="31"/>
    <s v="0"/>
    <s v="0"/>
    <s v="N.A"/>
    <s v="0"/>
    <s v="0"/>
    <s v="31"/>
    <s v="31"/>
    <s v="Associate software engineer"/>
    <s v="Product Engineering"/>
    <s v="Hyderabad"/>
    <s v="Telangana "/>
    <s v="50100834034694"/>
    <s v="HDFC BANK"/>
    <s v="24320"/>
    <s v="NDVPK5225C"/>
    <n v="10448"/>
    <n v="10448"/>
    <n v="0"/>
    <n v="4179"/>
    <n v="4179"/>
    <n v="0"/>
    <n v="1149"/>
    <n v="1149"/>
    <n v="0"/>
    <n v="0"/>
    <n v="0"/>
    <n v="0"/>
    <n v="2612"/>
    <n v="2612"/>
    <n v="0"/>
    <n v="0"/>
    <n v="0"/>
    <n v="0"/>
    <n v="5932"/>
    <n v="5932"/>
    <n v="0"/>
    <n v="0"/>
    <n v="0"/>
    <n v="0"/>
    <n v="0"/>
    <n v="0"/>
    <n v="0"/>
    <n v="0"/>
    <n v="0"/>
    <n v="0"/>
    <n v="0"/>
    <n v="0"/>
    <n v="0"/>
    <n v="0"/>
    <n v="24320"/>
    <n v="2432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2320"/>
    <s v="0"/>
    <s v="0"/>
    <n v="22320"/>
  </r>
  <r>
    <s v="FS576"/>
    <s v="Sheik Sadik"/>
    <x v="5"/>
    <s v="10-09-2025"/>
    <s v="N.A"/>
    <s v="2025-11"/>
    <s v="Success"/>
    <s v="N.A"/>
    <s v=""/>
    <s v="31"/>
    <s v="0"/>
    <s v="0"/>
    <s v="N.A"/>
    <s v="0"/>
    <s v="0"/>
    <s v="31"/>
    <s v="31"/>
    <s v="Lead Software Engineer"/>
    <s v="Product Engineering"/>
    <s v="Hyderabad"/>
    <s v="Telangana "/>
    <s v="20243520671"/>
    <s v="STATE BANK OF INDIA"/>
    <s v="277667"/>
    <s v="GCSPS7356P"/>
    <n v="116667"/>
    <n v="116667"/>
    <n v="0"/>
    <n v="46667"/>
    <n v="46667"/>
    <n v="0"/>
    <n v="12833"/>
    <n v="12833"/>
    <n v="0"/>
    <n v="0"/>
    <n v="0"/>
    <n v="0"/>
    <n v="10000"/>
    <n v="10000"/>
    <n v="0"/>
    <n v="0"/>
    <n v="0"/>
    <n v="0"/>
    <n v="91500"/>
    <n v="91500"/>
    <n v="0"/>
    <n v="0"/>
    <n v="0"/>
    <n v="0"/>
    <n v="0"/>
    <n v="0"/>
    <n v="0"/>
    <n v="0"/>
    <n v="0"/>
    <n v="0"/>
    <n v="0"/>
    <n v="0"/>
    <n v="0"/>
    <n v="0"/>
    <n v="277667"/>
    <n v="277667"/>
    <n v="0"/>
    <n v="0"/>
    <n v="23580"/>
    <n v="200"/>
    <n v="0"/>
    <n v="0"/>
    <n v="1400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80"/>
    <n v="239887"/>
    <s v="0"/>
    <s v="0"/>
    <n v="239887"/>
  </r>
  <r>
    <s v="FS577"/>
    <s v="Ulli Anil Kumar Naidu"/>
    <x v="4"/>
    <s v="12-09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460280817"/>
    <s v="HDFC BANK"/>
    <s v="160700"/>
    <s v="ACEPU2314H"/>
    <n v="65000"/>
    <n v="65000"/>
    <n v="0"/>
    <n v="26000"/>
    <n v="26000"/>
    <n v="0"/>
    <n v="7150"/>
    <n v="7150"/>
    <n v="0"/>
    <n v="0"/>
    <n v="0"/>
    <n v="0"/>
    <n v="10000"/>
    <n v="10000"/>
    <n v="0"/>
    <n v="0"/>
    <n v="0"/>
    <n v="0"/>
    <n v="52550"/>
    <n v="52550"/>
    <n v="0"/>
    <n v="0"/>
    <n v="0"/>
    <n v="0"/>
    <n v="0"/>
    <n v="0"/>
    <n v="0"/>
    <n v="0"/>
    <n v="0"/>
    <n v="0"/>
    <n v="0"/>
    <n v="0"/>
    <n v="0"/>
    <n v="0"/>
    <n v="160700"/>
    <n v="160700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58700"/>
    <s v="0"/>
    <s v="0"/>
    <n v="158700"/>
  </r>
  <r>
    <s v="FS578"/>
    <s v="Vala Divya"/>
    <x v="4"/>
    <s v="17-09-2025"/>
    <s v="N.A"/>
    <s v="2025-11"/>
    <s v="Success"/>
    <s v="N.A"/>
    <s v=""/>
    <s v="31"/>
    <s v="0"/>
    <s v="0"/>
    <s v="N.A"/>
    <s v="0"/>
    <s v="0"/>
    <s v="31"/>
    <s v="31"/>
    <s v="Lead QA Engineer"/>
    <s v="Delivery-IN"/>
    <s v="Hyderabad"/>
    <s v="Telangana "/>
    <s v="50100021611622"/>
    <s v="HDFC BANK"/>
    <s v="222783"/>
    <s v="ATNPV7029C"/>
    <n v="89833"/>
    <n v="89833"/>
    <n v="0"/>
    <n v="35933"/>
    <n v="35933"/>
    <n v="0"/>
    <n v="9882"/>
    <n v="9882"/>
    <n v="0"/>
    <n v="0"/>
    <n v="0"/>
    <n v="0"/>
    <n v="10000"/>
    <n v="10000"/>
    <n v="0"/>
    <n v="0"/>
    <n v="0"/>
    <n v="0"/>
    <n v="77135"/>
    <n v="77135"/>
    <n v="0"/>
    <n v="0"/>
    <n v="0"/>
    <n v="0"/>
    <n v="0"/>
    <n v="0"/>
    <n v="0"/>
    <n v="0"/>
    <n v="0"/>
    <n v="0"/>
    <n v="0"/>
    <n v="0"/>
    <n v="0"/>
    <n v="0"/>
    <n v="222783"/>
    <n v="222783"/>
    <n v="0"/>
    <n v="0"/>
    <n v="13118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18"/>
    <n v="207665"/>
    <s v="0"/>
    <s v="0"/>
    <n v="207665"/>
  </r>
  <r>
    <s v="FS579"/>
    <s v="Musuku Sunhith Reddy"/>
    <x v="4"/>
    <s v="18-09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230301500883"/>
    <s v="ICICI BANK LIMITED"/>
    <s v="205989"/>
    <s v="CLTPM8793C"/>
    <n v="78567"/>
    <n v="78567"/>
    <n v="0"/>
    <n v="31427"/>
    <n v="31427"/>
    <n v="0"/>
    <n v="8642"/>
    <n v="8642"/>
    <n v="0"/>
    <n v="0"/>
    <n v="0"/>
    <n v="0"/>
    <n v="10000"/>
    <n v="10000"/>
    <n v="0"/>
    <n v="0"/>
    <n v="0"/>
    <n v="0"/>
    <n v="58353"/>
    <n v="58353"/>
    <n v="0"/>
    <n v="0"/>
    <n v="0"/>
    <n v="0"/>
    <n v="0"/>
    <n v="0"/>
    <n v="19000"/>
    <n v="0"/>
    <n v="0"/>
    <n v="0"/>
    <n v="0"/>
    <n v="0"/>
    <n v="0"/>
    <n v="19000"/>
    <n v="205989"/>
    <n v="205989"/>
    <n v="0"/>
    <n v="0"/>
    <n v="0"/>
    <n v="200"/>
    <n v="0"/>
    <n v="0"/>
    <n v="9428"/>
    <n v="0"/>
    <n v="9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28"/>
    <n v="196361"/>
    <s v="0"/>
    <s v="0"/>
    <n v="196361"/>
  </r>
  <r>
    <s v="FS580"/>
    <s v="Shubham Kumar"/>
    <x v="15"/>
    <s v="29-09-2025"/>
    <s v="N.A"/>
    <s v="2025-11"/>
    <s v="Success"/>
    <s v="N.A"/>
    <s v=""/>
    <s v="31"/>
    <s v="0"/>
    <s v="0"/>
    <s v="N.A"/>
    <s v="0"/>
    <s v="0"/>
    <s v="31"/>
    <s v="31"/>
    <s v="Senior Software Engineer I"/>
    <s v="Delivery-IN"/>
    <s v="Hyderabad"/>
    <s v="Telangana "/>
    <s v="50100319787943"/>
    <s v="HDFC BANK"/>
    <s v="167283"/>
    <s v="GPVPK1759E"/>
    <n v="67633"/>
    <n v="67633"/>
    <n v="0"/>
    <n v="27053"/>
    <n v="27053"/>
    <n v="0"/>
    <n v="7440"/>
    <n v="7440"/>
    <n v="0"/>
    <n v="0"/>
    <n v="0"/>
    <n v="0"/>
    <n v="10000"/>
    <n v="10000"/>
    <n v="0"/>
    <n v="0"/>
    <n v="0"/>
    <n v="0"/>
    <n v="55157"/>
    <n v="55157"/>
    <n v="0"/>
    <n v="0"/>
    <n v="0"/>
    <n v="0"/>
    <n v="0"/>
    <n v="0"/>
    <n v="0"/>
    <n v="0"/>
    <n v="0"/>
    <n v="0"/>
    <n v="0"/>
    <n v="0"/>
    <n v="0"/>
    <n v="0"/>
    <n v="167283"/>
    <n v="167283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165283"/>
    <s v="0"/>
    <s v="0"/>
    <n v="165283"/>
  </r>
  <r>
    <s v="FS581"/>
    <s v="Tadi Sharath"/>
    <x v="15"/>
    <s v="29-09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50100841551827"/>
    <s v="HDFC BANK"/>
    <s v="198333"/>
    <s v="AYQPT4555P"/>
    <n v="83333"/>
    <n v="83333"/>
    <n v="0"/>
    <n v="33333"/>
    <n v="33333"/>
    <n v="0"/>
    <n v="9167"/>
    <n v="9167"/>
    <n v="0"/>
    <n v="0"/>
    <n v="0"/>
    <n v="0"/>
    <n v="10000"/>
    <n v="10000"/>
    <n v="0"/>
    <n v="0"/>
    <n v="0"/>
    <n v="0"/>
    <n v="62500"/>
    <n v="62500"/>
    <n v="0"/>
    <n v="0"/>
    <n v="0"/>
    <n v="0"/>
    <n v="0"/>
    <n v="0"/>
    <n v="0"/>
    <n v="0"/>
    <n v="0"/>
    <n v="0"/>
    <n v="0"/>
    <n v="0"/>
    <n v="0"/>
    <n v="0"/>
    <n v="198333"/>
    <n v="198333"/>
    <n v="0"/>
    <n v="0"/>
    <n v="0"/>
    <n v="200"/>
    <n v="0"/>
    <n v="0"/>
    <n v="1000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00"/>
    <n v="188133"/>
    <s v="0"/>
    <s v="0"/>
    <n v="188133"/>
  </r>
  <r>
    <s v="FS583"/>
    <s v="Muthanapalli Visal"/>
    <x v="15"/>
    <s v="06-10-2025"/>
    <s v="N.A"/>
    <s v="2025-11"/>
    <s v="Success"/>
    <s v="N.A"/>
    <s v=""/>
    <s v="31"/>
    <s v="0"/>
    <s v="0"/>
    <s v="N.A"/>
    <s v="0"/>
    <s v="0"/>
    <s v="31"/>
    <s v="31"/>
    <s v="Senior Platform Engineer"/>
    <s v="Delivery-IN"/>
    <s v="Hyderabad"/>
    <s v="Telangana "/>
    <s v="260310100020375"/>
    <s v="UNION BANK OF INDIA"/>
    <s v="252725"/>
    <s v="EKTPM9832F"/>
    <n v="94210"/>
    <n v="94210"/>
    <n v="0"/>
    <n v="37684"/>
    <n v="37684"/>
    <n v="0"/>
    <n v="10363"/>
    <n v="10363"/>
    <n v="0"/>
    <n v="0"/>
    <n v="0"/>
    <n v="0"/>
    <n v="10000"/>
    <n v="10000"/>
    <n v="0"/>
    <n v="0"/>
    <n v="0"/>
    <n v="0"/>
    <n v="81468"/>
    <n v="81468"/>
    <n v="0"/>
    <n v="0"/>
    <n v="0"/>
    <n v="0"/>
    <n v="0"/>
    <n v="0"/>
    <n v="19000"/>
    <n v="0"/>
    <n v="0"/>
    <n v="0"/>
    <n v="0"/>
    <n v="0"/>
    <n v="0"/>
    <n v="19000"/>
    <n v="252725"/>
    <n v="252725"/>
    <n v="0"/>
    <n v="0"/>
    <n v="13095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95"/>
    <n v="237630"/>
    <s v="0"/>
    <s v="0"/>
    <n v="237630"/>
  </r>
  <r>
    <s v="FS584"/>
    <s v="Karpuram Dhanalakshmi Srivani"/>
    <x v="15"/>
    <s v="15-10-2025"/>
    <s v="N.A"/>
    <s v="2025-11"/>
    <s v="Success"/>
    <s v="N.A"/>
    <s v=""/>
    <s v="31"/>
    <s v="0"/>
    <s v="0"/>
    <s v="N.A"/>
    <s v="0"/>
    <s v="0"/>
    <s v="31"/>
    <s v="31"/>
    <s v="Senior Software Engineer"/>
    <s v="Delivery-IN"/>
    <s v="Hyderabad"/>
    <s v="Telangana "/>
    <s v="20338480733"/>
    <s v="STATE BANK OF INDIA"/>
    <s v="256377"/>
    <s v="HAHPS7198F"/>
    <n v="103271"/>
    <n v="103271"/>
    <n v="0"/>
    <n v="41308"/>
    <n v="41308"/>
    <n v="0"/>
    <n v="11360"/>
    <n v="11360"/>
    <n v="0"/>
    <n v="0"/>
    <n v="0"/>
    <n v="0"/>
    <n v="10000"/>
    <n v="10000"/>
    <n v="0"/>
    <n v="0"/>
    <n v="0"/>
    <n v="0"/>
    <n v="90438"/>
    <n v="90438"/>
    <n v="0"/>
    <n v="0"/>
    <n v="0"/>
    <n v="0"/>
    <n v="0"/>
    <n v="0"/>
    <n v="0"/>
    <n v="0"/>
    <n v="0"/>
    <n v="0"/>
    <n v="0"/>
    <n v="0"/>
    <n v="0"/>
    <n v="0"/>
    <n v="256377"/>
    <n v="256377"/>
    <n v="0"/>
    <n v="0"/>
    <n v="1708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83"/>
    <n v="237294"/>
    <s v="0"/>
    <s v="0"/>
    <n v="237294"/>
  </r>
  <r>
    <s v="FS585"/>
    <s v="YADAV SHUBHAM"/>
    <x v="15"/>
    <s v="27-10-2025"/>
    <s v="N.A"/>
    <s v="2025-11"/>
    <s v="Success"/>
    <s v="N.A"/>
    <s v=""/>
    <s v="31"/>
    <s v="0"/>
    <s v="0"/>
    <s v="N.A"/>
    <s v="0"/>
    <s v="0"/>
    <s v="30"/>
    <s v="30"/>
    <s v="CAD Engineer"/>
    <s v="Delivery-IN"/>
    <s v="Hyderabad"/>
    <s v="Telangana "/>
    <s v="50100818980083"/>
    <s v="HDFC BANK"/>
    <s v="28408"/>
    <s v="BNCPY1983Q"/>
    <n v="12083"/>
    <n v="11693"/>
    <n v="0"/>
    <n v="4833"/>
    <n v="4677"/>
    <n v="0"/>
    <n v="1329"/>
    <n v="1286"/>
    <n v="0"/>
    <n v="0"/>
    <n v="0"/>
    <n v="0"/>
    <n v="3021"/>
    <n v="2924"/>
    <n v="0"/>
    <n v="0"/>
    <n v="0"/>
    <n v="0"/>
    <n v="7142"/>
    <n v="6912"/>
    <n v="0"/>
    <n v="0"/>
    <n v="0"/>
    <n v="0"/>
    <n v="0"/>
    <n v="0"/>
    <n v="0"/>
    <n v="0"/>
    <n v="0"/>
    <n v="0"/>
    <n v="0"/>
    <n v="0"/>
    <n v="0"/>
    <n v="0"/>
    <n v="27492"/>
    <n v="27492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25492"/>
    <s v="0"/>
    <s v="0"/>
    <n v="25492"/>
  </r>
  <r>
    <s v="FS586"/>
    <s v="Raju Sharma"/>
    <x v="6"/>
    <s v="27-10-2025"/>
    <s v="N.A"/>
    <s v="2025-11"/>
    <s v="Success"/>
    <s v="N.A"/>
    <s v=""/>
    <s v="31"/>
    <s v="0"/>
    <s v="0"/>
    <s v="N.A"/>
    <s v="0"/>
    <s v="0"/>
    <s v="30"/>
    <s v="30"/>
    <s v="Vice President - Business Development &amp; GCC Markets"/>
    <s v="Delivery-IN"/>
    <s v="Hyderabad"/>
    <s v="Telangana "/>
    <s v="5010 0006 6935 33"/>
    <s v="HDFC BANK"/>
    <s v="403617"/>
    <s v="BBJPS0906A"/>
    <n v="162167"/>
    <n v="156936"/>
    <n v="0"/>
    <n v="64867"/>
    <n v="62775"/>
    <n v="0"/>
    <n v="17838"/>
    <n v="17263"/>
    <n v="0"/>
    <n v="0"/>
    <n v="0"/>
    <n v="0"/>
    <n v="10000"/>
    <n v="9677"/>
    <n v="0"/>
    <n v="0"/>
    <n v="0"/>
    <n v="0"/>
    <n v="148745"/>
    <n v="143947"/>
    <n v="0"/>
    <n v="0"/>
    <n v="0"/>
    <n v="0"/>
    <n v="0"/>
    <n v="0"/>
    <n v="0"/>
    <n v="0"/>
    <n v="0"/>
    <n v="0"/>
    <n v="0"/>
    <n v="0"/>
    <n v="0"/>
    <n v="0"/>
    <n v="390598"/>
    <n v="390598"/>
    <n v="0"/>
    <n v="0"/>
    <n v="37443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15"/>
    <n v="11815"/>
    <n v="0"/>
    <n v="51258"/>
    <n v="339340"/>
    <s v="0"/>
    <s v="0"/>
    <n v="339340"/>
  </r>
  <r>
    <s v="FS587"/>
    <s v="Janaswami Bhargav Ram"/>
    <x v="15"/>
    <s v="29-10-2025"/>
    <s v="N.A"/>
    <s v="2025-11"/>
    <s v="Success"/>
    <s v="N.A"/>
    <s v=""/>
    <s v="31"/>
    <s v="0"/>
    <s v="0"/>
    <s v="N.A"/>
    <s v="0"/>
    <s v="0"/>
    <s v="28"/>
    <s v="28"/>
    <s v="Manager - Product Engineering"/>
    <s v="Delivery-IN"/>
    <s v="Hyderabad"/>
    <s v="Telangana "/>
    <s v="50100016458501"/>
    <s v="HDFC BANK"/>
    <s v="238625"/>
    <s v="ASKPJ8978J"/>
    <n v="100263"/>
    <n v="90560"/>
    <n v="0"/>
    <n v="40105"/>
    <n v="36224"/>
    <n v="0"/>
    <n v="11029"/>
    <n v="9962"/>
    <n v="0"/>
    <n v="0"/>
    <n v="0"/>
    <n v="0"/>
    <n v="10000"/>
    <n v="9032"/>
    <n v="0"/>
    <n v="0"/>
    <n v="0"/>
    <n v="0"/>
    <n v="77228"/>
    <n v="69754"/>
    <n v="0"/>
    <n v="0"/>
    <n v="0"/>
    <n v="0"/>
    <n v="0"/>
    <n v="0"/>
    <n v="0"/>
    <n v="0"/>
    <n v="0"/>
    <n v="0"/>
    <n v="0"/>
    <n v="0"/>
    <n v="0"/>
    <n v="0"/>
    <n v="215532"/>
    <n v="215532"/>
    <n v="0"/>
    <n v="0"/>
    <n v="0"/>
    <n v="200"/>
    <n v="0"/>
    <n v="0"/>
    <n v="10867"/>
    <n v="0"/>
    <n v="10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67"/>
    <n v="204465"/>
    <s v="0"/>
    <s v="0"/>
    <n v="204465"/>
  </r>
  <r>
    <s v="FS588"/>
    <s v="KESANASETTY RAVITEJA"/>
    <x v="15"/>
    <s v="03-11-2025"/>
    <s v="N.A"/>
    <s v="2025-11"/>
    <s v="Success"/>
    <s v="N.A"/>
    <s v=""/>
    <s v="31"/>
    <s v="0"/>
    <s v="0"/>
    <s v="N.A"/>
    <s v="0"/>
    <s v="0"/>
    <s v="23"/>
    <s v="23"/>
    <s v="Senior Software Engineer"/>
    <s v="Delivery-IN"/>
    <s v="Hyderabad"/>
    <s v="Telangana "/>
    <s v="50100315962501"/>
    <s v="HDFC BANK"/>
    <s v="159867"/>
    <s v="DLFPK8562N"/>
    <n v="64667"/>
    <n v="47979"/>
    <n v="0"/>
    <n v="25867"/>
    <n v="19192"/>
    <n v="0"/>
    <n v="7113"/>
    <n v="5277"/>
    <n v="0"/>
    <n v="0"/>
    <n v="0"/>
    <n v="0"/>
    <n v="10000"/>
    <n v="7419"/>
    <n v="0"/>
    <n v="0"/>
    <n v="0"/>
    <n v="0"/>
    <n v="52220"/>
    <n v="38744"/>
    <n v="0"/>
    <n v="0"/>
    <n v="0"/>
    <n v="0"/>
    <n v="0"/>
    <n v="0"/>
    <n v="0"/>
    <n v="0"/>
    <n v="0"/>
    <n v="0"/>
    <n v="0"/>
    <n v="0"/>
    <n v="0"/>
    <n v="0"/>
    <n v="118611"/>
    <n v="118611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"/>
    <n v="10000"/>
    <n v="0"/>
    <n v="12000"/>
    <n v="106611"/>
    <s v="0"/>
    <s v="0"/>
    <n v="106611"/>
  </r>
  <r>
    <s v="FS589"/>
    <s v="Chinnala Sandeep Kumar"/>
    <x v="15"/>
    <s v="05-11-2025"/>
    <s v="N.A"/>
    <s v="2025-11"/>
    <s v="Success"/>
    <s v="N.A"/>
    <s v=""/>
    <s v="31"/>
    <s v="0"/>
    <s v="0"/>
    <s v="N.A"/>
    <s v="0"/>
    <s v="0"/>
    <s v="21"/>
    <s v="21"/>
    <s v="Senior Software Engineer"/>
    <s v="Delivery-IN"/>
    <s v="Hyderabad"/>
    <s v="Telangana "/>
    <s v="50100452664456"/>
    <s v="HDFC BANK"/>
    <s v="140008"/>
    <s v="DWWPK5778J"/>
    <n v="56723"/>
    <n v="38425"/>
    <n v="0"/>
    <n v="22689"/>
    <n v="15370"/>
    <n v="0"/>
    <n v="6240"/>
    <n v="4227"/>
    <n v="0"/>
    <n v="0"/>
    <n v="0"/>
    <n v="0"/>
    <n v="10000"/>
    <n v="6774"/>
    <n v="0"/>
    <n v="0"/>
    <n v="0"/>
    <n v="0"/>
    <n v="44356"/>
    <n v="30048"/>
    <n v="0"/>
    <n v="0"/>
    <n v="0"/>
    <n v="0"/>
    <n v="0"/>
    <n v="0"/>
    <n v="0"/>
    <n v="0"/>
    <n v="0"/>
    <n v="0"/>
    <n v="0"/>
    <n v="0"/>
    <n v="0"/>
    <n v="0"/>
    <n v="94844"/>
    <n v="94844"/>
    <n v="0"/>
    <n v="0"/>
    <n v="0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92844"/>
    <s v="0"/>
    <s v="0"/>
    <n v="92844"/>
  </r>
  <r>
    <s v="FS590"/>
    <s v="NARMADA DHARMAPURI"/>
    <x v="15"/>
    <s v="14-11-2025"/>
    <s v="N.A"/>
    <s v="2025-11"/>
    <s v="Success"/>
    <s v="N.A"/>
    <s v=""/>
    <s v="31"/>
    <s v="0"/>
    <s v="0"/>
    <s v="N.A"/>
    <s v="0"/>
    <s v="0"/>
    <s v="12"/>
    <s v="12"/>
    <s v="Senior Software Engineer"/>
    <s v="Delivery-IN"/>
    <s v="Hyderabad"/>
    <s v="Telangana "/>
    <s v="00751130015405"/>
    <s v="HDFC BANK"/>
    <s v="168980"/>
    <s v="BOXPD4106G"/>
    <n v="71000"/>
    <n v="27484"/>
    <n v="0"/>
    <n v="28400"/>
    <n v="10994"/>
    <n v="0"/>
    <n v="7810"/>
    <n v="3023"/>
    <n v="0"/>
    <n v="0"/>
    <n v="0"/>
    <n v="0"/>
    <n v="10000"/>
    <n v="3871"/>
    <n v="0"/>
    <n v="0"/>
    <n v="0"/>
    <n v="0"/>
    <n v="51770"/>
    <n v="20040"/>
    <n v="0"/>
    <n v="0"/>
    <n v="0"/>
    <n v="0"/>
    <n v="0"/>
    <n v="0"/>
    <n v="0"/>
    <n v="0"/>
    <n v="0"/>
    <n v="0"/>
    <n v="0"/>
    <n v="0"/>
    <n v="0"/>
    <n v="0"/>
    <n v="65412"/>
    <n v="65412"/>
    <n v="0"/>
    <n v="0"/>
    <n v="0"/>
    <n v="200"/>
    <n v="0"/>
    <n v="0"/>
    <n v="3298"/>
    <n v="0"/>
    <n v="3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98"/>
    <n v="61914"/>
    <s v="0"/>
    <s v="0"/>
    <n v="61914"/>
  </r>
  <r>
    <s v="FS591"/>
    <s v="Chaitanya Ingle"/>
    <x v="14"/>
    <s v="17-11-2025"/>
    <s v="N.A"/>
    <s v="2025-11"/>
    <s v="Success"/>
    <s v="N.A"/>
    <s v="Hold Salary"/>
    <s v="31"/>
    <s v="0"/>
    <s v="0"/>
    <s v="N.A"/>
    <s v="0"/>
    <s v="0"/>
    <s v="9"/>
    <s v="9"/>
    <s v="Director - Delivery &amp; Growth"/>
    <s v="Delivery-IN"/>
    <s v="Hyderabad"/>
    <s v="Telangana "/>
    <s v="50100200835818"/>
    <s v="HDFC BANK"/>
    <s v="314506"/>
    <s v="AAVPI1269A"/>
    <n v="126522"/>
    <n v="36732"/>
    <n v="0"/>
    <n v="50609"/>
    <n v="14693"/>
    <n v="0"/>
    <n v="13917"/>
    <n v="4040"/>
    <n v="0"/>
    <n v="0"/>
    <n v="0"/>
    <n v="0"/>
    <n v="10000"/>
    <n v="2903"/>
    <n v="0"/>
    <n v="0"/>
    <n v="0"/>
    <n v="0"/>
    <n v="113458"/>
    <n v="32939"/>
    <n v="0"/>
    <n v="0"/>
    <n v="0"/>
    <n v="0"/>
    <n v="0"/>
    <n v="0"/>
    <n v="0"/>
    <n v="0"/>
    <n v="0"/>
    <n v="0"/>
    <n v="0"/>
    <n v="0"/>
    <n v="0"/>
    <n v="0"/>
    <n v="91307"/>
    <n v="91307"/>
    <n v="0"/>
    <n v="0"/>
    <n v="4297"/>
    <n v="200"/>
    <n v="0"/>
    <n v="0"/>
    <n v="180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97"/>
    <n v="85010"/>
    <s v="0"/>
    <s v="0"/>
    <n v="85010"/>
  </r>
  <r>
    <s v="FS592"/>
    <s v="Malay Srivastava"/>
    <x v="15"/>
    <s v="24-11-2025"/>
    <s v="N.A"/>
    <s v="2025-11"/>
    <s v="Success"/>
    <s v="N.A"/>
    <s v="Hold Salary"/>
    <s v="31"/>
    <s v="0"/>
    <s v="0"/>
    <s v="N.A"/>
    <s v="0"/>
    <s v="0"/>
    <s v="2"/>
    <s v="2"/>
    <s v="Senior Software Engineer"/>
    <s v="Delivery-IN"/>
    <s v="Hyderabad"/>
    <s v="Telangana "/>
    <s v="50100548666217"/>
    <s v="HDFC BANK"/>
    <s v="123200"/>
    <s v="IWVPS2920C"/>
    <n v="50000"/>
    <n v="3226"/>
    <n v="0"/>
    <n v="20000"/>
    <n v="1290"/>
    <n v="0"/>
    <n v="5500"/>
    <n v="355"/>
    <n v="0"/>
    <n v="0"/>
    <n v="0"/>
    <n v="0"/>
    <n v="10000"/>
    <n v="645"/>
    <n v="0"/>
    <n v="0"/>
    <n v="0"/>
    <n v="0"/>
    <n v="37700"/>
    <n v="2432"/>
    <n v="0"/>
    <n v="0"/>
    <n v="0"/>
    <n v="0"/>
    <n v="0"/>
    <n v="0"/>
    <n v="0"/>
    <n v="0"/>
    <n v="0"/>
    <n v="0"/>
    <n v="0"/>
    <n v="0"/>
    <n v="0"/>
    <n v="0"/>
    <n v="7948"/>
    <n v="7948"/>
    <n v="0"/>
    <n v="0"/>
    <n v="0"/>
    <n v="0"/>
    <n v="0"/>
    <n v="0"/>
    <n v="387"/>
    <n v="0"/>
    <n v="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7"/>
    <n v="7561"/>
    <s v="0"/>
    <s v="0"/>
    <n v="7561"/>
  </r>
  <r>
    <m/>
    <m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EE9F5-5812-4B1A-BC31-A2B1FB04AA92}" name="PivotTable1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B19" firstHeaderRow="0" firstDataRow="1" firstDataCol="1"/>
  <pivotFields count="107">
    <pivotField showAll="0"/>
    <pivotField showAll="0"/>
    <pivotField axis="axisRow" showAll="0">
      <items count="18">
        <item x="2"/>
        <item x="13"/>
        <item x="9"/>
        <item x="14"/>
        <item x="11"/>
        <item x="7"/>
        <item x="3"/>
        <item x="12"/>
        <item x="1"/>
        <item x="10"/>
        <item x="15"/>
        <item x="5"/>
        <item x="4"/>
        <item x="6"/>
        <item x="8"/>
        <item x="0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um of Basic " fld="26" baseField="2" baseItem="0"/>
    <dataField name="Sum of Food Coupon " fld="41" baseField="2" baseItem="0"/>
    <dataField name="Sum of Basic Arrears " fld="27" baseField="0" baseItem="0"/>
    <dataField name="Sum of HRA " fld="29" baseField="0" baseItem="0"/>
    <dataField name="Sum of HRA Arrears " fld="30" baseField="0" baseItem="0"/>
    <dataField name="Sum of Statutory Bonus " fld="32" baseField="0" baseItem="0"/>
    <dataField name="Sum of OTHERS" fld="57" baseField="0" baseItem="0"/>
    <dataField name="Sum of Statutory Bonus Arrears " fld="33" baseField="0" baseItem="0"/>
    <dataField name="Sum of Special Allowances " fld="35" baseField="0" baseItem="0"/>
    <dataField name="Sum of Special Allowances Arrears " fld="36" baseField="0" baseItem="0"/>
    <dataField name="Sum of LTA " fld="38" baseField="0" baseItem="0"/>
    <dataField name="Sum of LTA Arrears " fld="39" baseField="0" baseItem="0"/>
    <dataField name="Sum of Food Coupon Arrears " fld="42" baseField="0" baseItem="0"/>
    <dataField name="Sum of Other Allowance " fld="44" baseField="0" baseItem="0"/>
    <dataField name="Sum of Other Allowance Arrears " fld="45" baseField="0" baseItem="0"/>
    <dataField name="Sum of BONUS" fld="47" baseField="0" baseItem="0"/>
    <dataField name="Sum of INCENTIVE" fld="48" baseField="0" baseItem="0"/>
    <dataField name="Sum of ARREARS" fld="49" baseField="0" baseItem="0"/>
    <dataField name="Sum of VARIABLE PAY" fld="50" baseField="0" baseItem="0"/>
    <dataField name="Sum of SHIFT ALLOWANCE" fld="51" baseField="0" baseItem="0"/>
    <dataField name="Sum of VARIABLE PERFORMANCE PAY" fld="53" baseField="0" baseItem="0"/>
    <dataField name="Sum of TDS" fld="63" baseField="0" baseItem="0"/>
    <dataField name="Sum of Professional Tax" fld="64" baseField="0" baseItem="0"/>
    <dataField name="Sum of Provident Fund" fld="67" baseField="0" baseItem="0"/>
    <dataField name="Sum of Provident Fund Arrears" fld="68" baseField="0" baseItem="0"/>
    <dataField name="Sum of OTHER RECOVERIES " fld="98" baseField="0" baseItem="0"/>
    <dataField name="Sum of Mediclaim Insurance Recovery " fld="9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I183"/>
  <sheetViews>
    <sheetView tabSelected="1" topLeftCell="DB1" workbookViewId="0">
      <selection activeCell="DC2" sqref="DC2"/>
    </sheetView>
  </sheetViews>
  <sheetFormatPr defaultRowHeight="14.45"/>
  <cols>
    <col min="1" max="1" width="25" customWidth="1"/>
    <col min="2" max="3" width="38" customWidth="1"/>
    <col min="4" max="17" width="25" customWidth="1"/>
    <col min="18" max="18" width="51" customWidth="1"/>
    <col min="19" max="19" width="28" customWidth="1"/>
    <col min="20" max="34" width="25" customWidth="1"/>
    <col min="35" max="35" width="28" customWidth="1"/>
    <col min="36" max="36" width="25" customWidth="1"/>
    <col min="37" max="37" width="27" customWidth="1"/>
    <col min="38" max="62" width="25" customWidth="1"/>
    <col min="63" max="63" width="30" customWidth="1"/>
    <col min="64" max="70" width="25" customWidth="1"/>
    <col min="71" max="71" width="32" customWidth="1"/>
    <col min="72" max="74" width="25" customWidth="1"/>
    <col min="75" max="75" width="32" customWidth="1"/>
    <col min="76" max="87" width="25" customWidth="1"/>
    <col min="88" max="88" width="28" customWidth="1"/>
    <col min="89" max="89" width="31" customWidth="1"/>
    <col min="90" max="90" width="33" customWidth="1"/>
    <col min="91" max="91" width="36" customWidth="1"/>
    <col min="92" max="92" width="25" customWidth="1"/>
    <col min="93" max="93" width="26" customWidth="1"/>
    <col min="94" max="94" width="25" customWidth="1"/>
    <col min="95" max="95" width="38" customWidth="1"/>
    <col min="96" max="96" width="37" customWidth="1"/>
    <col min="97" max="97" width="42" customWidth="1"/>
    <col min="98" max="98" width="26" customWidth="1"/>
    <col min="99" max="99" width="25" customWidth="1"/>
    <col min="100" max="100" width="29" customWidth="1"/>
    <col min="101" max="101" width="33" customWidth="1"/>
    <col min="102" max="102" width="35" customWidth="1"/>
    <col min="103" max="107" width="25" customWidth="1"/>
    <col min="110" max="110" width="32.140625" customWidth="1"/>
    <col min="111" max="111" width="49.42578125" customWidth="1"/>
    <col min="112" max="112" width="42.42578125" customWidth="1"/>
    <col min="113" max="113" width="31.5703125" customWidth="1"/>
  </cols>
  <sheetData>
    <row r="1" spans="1:1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E1" s="2">
        <v>45931</v>
      </c>
      <c r="DF1" s="1" t="s">
        <v>107</v>
      </c>
      <c r="DG1" s="1" t="s">
        <v>108</v>
      </c>
    </row>
    <row r="2" spans="1:111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113</v>
      </c>
      <c r="I2" t="s">
        <v>116</v>
      </c>
      <c r="J2" t="s">
        <v>117</v>
      </c>
      <c r="K2" t="s">
        <v>118</v>
      </c>
      <c r="L2" t="s">
        <v>118</v>
      </c>
      <c r="M2" t="s">
        <v>113</v>
      </c>
      <c r="N2" t="s">
        <v>118</v>
      </c>
      <c r="O2" t="s">
        <v>118</v>
      </c>
      <c r="P2" t="s">
        <v>117</v>
      </c>
      <c r="Q2" t="s">
        <v>117</v>
      </c>
      <c r="R2" t="s">
        <v>119</v>
      </c>
      <c r="S2" t="s">
        <v>120</v>
      </c>
      <c r="T2" t="s">
        <v>121</v>
      </c>
      <c r="U2" t="s">
        <v>122</v>
      </c>
      <c r="V2" t="s">
        <v>123</v>
      </c>
      <c r="W2" t="s">
        <v>124</v>
      </c>
      <c r="X2" t="s">
        <v>125</v>
      </c>
      <c r="Y2" t="s">
        <v>126</v>
      </c>
      <c r="Z2">
        <v>60428</v>
      </c>
      <c r="AA2">
        <v>60428</v>
      </c>
      <c r="AB2">
        <v>0</v>
      </c>
      <c r="AC2">
        <v>24171</v>
      </c>
      <c r="AD2">
        <v>24171</v>
      </c>
      <c r="AE2">
        <v>0</v>
      </c>
      <c r="AF2">
        <v>6647</v>
      </c>
      <c r="AG2">
        <v>6647</v>
      </c>
      <c r="AH2">
        <v>0</v>
      </c>
      <c r="AI2">
        <v>0</v>
      </c>
      <c r="AJ2">
        <v>0</v>
      </c>
      <c r="AK2">
        <v>0</v>
      </c>
      <c r="AL2">
        <v>10000</v>
      </c>
      <c r="AM2">
        <v>10000</v>
      </c>
      <c r="AN2">
        <v>0</v>
      </c>
      <c r="AO2">
        <v>0</v>
      </c>
      <c r="AP2">
        <v>0</v>
      </c>
      <c r="AQ2">
        <v>0</v>
      </c>
      <c r="AR2">
        <v>42572</v>
      </c>
      <c r="AS2">
        <v>42572</v>
      </c>
      <c r="AT2">
        <v>0</v>
      </c>
      <c r="AU2">
        <v>0</v>
      </c>
      <c r="AV2">
        <v>0</v>
      </c>
      <c r="AW2">
        <v>1500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1500</v>
      </c>
      <c r="BH2">
        <v>145318</v>
      </c>
      <c r="BI2">
        <v>145318</v>
      </c>
      <c r="BJ2">
        <v>0</v>
      </c>
      <c r="BK2">
        <v>0</v>
      </c>
      <c r="BL2">
        <v>11795</v>
      </c>
      <c r="BM2">
        <v>200</v>
      </c>
      <c r="BN2">
        <v>0</v>
      </c>
      <c r="BO2">
        <v>0</v>
      </c>
      <c r="BP2">
        <v>7251</v>
      </c>
      <c r="BQ2">
        <v>0</v>
      </c>
      <c r="BR2">
        <v>7251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19246</v>
      </c>
      <c r="CZ2">
        <v>126072</v>
      </c>
      <c r="DA2" t="s">
        <v>118</v>
      </c>
      <c r="DB2" t="s">
        <v>118</v>
      </c>
      <c r="DC2">
        <v>126072</v>
      </c>
      <c r="DE2" cm="1">
        <f t="array" ref="DE2:DE181">VLOOKUP(A2:A181,[1]First!$A$2:$DC$179,107,0)</f>
        <v>124635</v>
      </c>
      <c r="DF2">
        <f>DC2-DE2</f>
        <v>1437</v>
      </c>
      <c r="DG2" t="s">
        <v>127</v>
      </c>
    </row>
    <row r="3" spans="1:111">
      <c r="A3" t="s">
        <v>128</v>
      </c>
      <c r="B3" t="s">
        <v>129</v>
      </c>
      <c r="C3" t="s">
        <v>130</v>
      </c>
      <c r="D3" t="s">
        <v>131</v>
      </c>
      <c r="E3" t="s">
        <v>113</v>
      </c>
      <c r="F3" t="s">
        <v>114</v>
      </c>
      <c r="G3" t="s">
        <v>115</v>
      </c>
      <c r="H3" t="s">
        <v>113</v>
      </c>
      <c r="I3" t="s">
        <v>116</v>
      </c>
      <c r="J3" t="s">
        <v>117</v>
      </c>
      <c r="K3" t="s">
        <v>118</v>
      </c>
      <c r="L3" t="s">
        <v>118</v>
      </c>
      <c r="M3" t="s">
        <v>113</v>
      </c>
      <c r="N3" t="s">
        <v>118</v>
      </c>
      <c r="O3" t="s">
        <v>118</v>
      </c>
      <c r="P3" t="s">
        <v>117</v>
      </c>
      <c r="Q3" t="s">
        <v>117</v>
      </c>
      <c r="R3" t="s">
        <v>132</v>
      </c>
      <c r="S3" t="s">
        <v>133</v>
      </c>
      <c r="T3" t="s">
        <v>121</v>
      </c>
      <c r="U3" t="s">
        <v>122</v>
      </c>
      <c r="V3" t="s">
        <v>134</v>
      </c>
      <c r="W3" t="s">
        <v>135</v>
      </c>
      <c r="X3" t="s">
        <v>136</v>
      </c>
      <c r="Y3" t="s">
        <v>137</v>
      </c>
      <c r="Z3">
        <v>53329</v>
      </c>
      <c r="AA3">
        <v>53329</v>
      </c>
      <c r="AB3">
        <v>0</v>
      </c>
      <c r="AC3">
        <v>21332</v>
      </c>
      <c r="AD3">
        <v>21332</v>
      </c>
      <c r="AE3">
        <v>0</v>
      </c>
      <c r="AF3">
        <v>5866</v>
      </c>
      <c r="AG3">
        <v>5866</v>
      </c>
      <c r="AH3">
        <v>0</v>
      </c>
      <c r="AI3">
        <v>0</v>
      </c>
      <c r="AJ3">
        <v>0</v>
      </c>
      <c r="AK3">
        <v>0</v>
      </c>
      <c r="AL3">
        <v>10000</v>
      </c>
      <c r="AM3">
        <v>10000</v>
      </c>
      <c r="AN3">
        <v>0</v>
      </c>
      <c r="AO3">
        <v>2200</v>
      </c>
      <c r="AP3">
        <v>2200</v>
      </c>
      <c r="AQ3">
        <v>0</v>
      </c>
      <c r="AR3">
        <v>34197</v>
      </c>
      <c r="AS3">
        <v>34197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126924</v>
      </c>
      <c r="BI3">
        <v>126924</v>
      </c>
      <c r="BJ3">
        <v>2200</v>
      </c>
      <c r="BK3">
        <v>0</v>
      </c>
      <c r="BL3">
        <v>8425</v>
      </c>
      <c r="BM3">
        <v>200</v>
      </c>
      <c r="BN3">
        <v>0</v>
      </c>
      <c r="BO3">
        <v>0</v>
      </c>
      <c r="BP3">
        <v>6399</v>
      </c>
      <c r="BQ3">
        <v>0</v>
      </c>
      <c r="BR3">
        <v>6399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17224</v>
      </c>
      <c r="CZ3">
        <v>109700</v>
      </c>
      <c r="DA3" t="s">
        <v>118</v>
      </c>
      <c r="DB3" t="s">
        <v>118</v>
      </c>
      <c r="DC3">
        <v>109700</v>
      </c>
      <c r="DE3">
        <v>109700</v>
      </c>
      <c r="DF3">
        <f t="shared" ref="DF3:DF66" si="0">DC3-DE3</f>
        <v>0</v>
      </c>
    </row>
    <row r="4" spans="1:111">
      <c r="A4" t="s">
        <v>138</v>
      </c>
      <c r="B4" t="s">
        <v>139</v>
      </c>
      <c r="C4" t="s">
        <v>140</v>
      </c>
      <c r="D4" t="s">
        <v>141</v>
      </c>
      <c r="E4" t="s">
        <v>113</v>
      </c>
      <c r="F4" t="s">
        <v>114</v>
      </c>
      <c r="G4" t="s">
        <v>115</v>
      </c>
      <c r="H4" t="s">
        <v>113</v>
      </c>
      <c r="I4" t="s">
        <v>116</v>
      </c>
      <c r="J4" t="s">
        <v>117</v>
      </c>
      <c r="K4" t="s">
        <v>118</v>
      </c>
      <c r="L4" t="s">
        <v>118</v>
      </c>
      <c r="M4" t="s">
        <v>113</v>
      </c>
      <c r="N4" t="s">
        <v>118</v>
      </c>
      <c r="O4" t="s">
        <v>118</v>
      </c>
      <c r="P4" t="s">
        <v>117</v>
      </c>
      <c r="Q4" t="s">
        <v>117</v>
      </c>
      <c r="R4" t="s">
        <v>142</v>
      </c>
      <c r="S4" t="s">
        <v>143</v>
      </c>
      <c r="T4" t="s">
        <v>121</v>
      </c>
      <c r="U4" t="s">
        <v>122</v>
      </c>
      <c r="V4" t="s">
        <v>144</v>
      </c>
      <c r="W4" t="s">
        <v>135</v>
      </c>
      <c r="X4" t="s">
        <v>145</v>
      </c>
      <c r="Y4" t="s">
        <v>146</v>
      </c>
      <c r="Z4">
        <v>15840</v>
      </c>
      <c r="AA4">
        <v>15840</v>
      </c>
      <c r="AB4">
        <v>0</v>
      </c>
      <c r="AC4">
        <v>6336</v>
      </c>
      <c r="AD4">
        <v>6336</v>
      </c>
      <c r="AE4">
        <v>0</v>
      </c>
      <c r="AF4">
        <v>1742</v>
      </c>
      <c r="AG4">
        <v>1742</v>
      </c>
      <c r="AH4">
        <v>0</v>
      </c>
      <c r="AI4">
        <v>0</v>
      </c>
      <c r="AJ4">
        <v>0</v>
      </c>
      <c r="AK4">
        <v>0</v>
      </c>
      <c r="AL4">
        <v>3960</v>
      </c>
      <c r="AM4">
        <v>3960</v>
      </c>
      <c r="AN4">
        <v>0</v>
      </c>
      <c r="AO4">
        <v>0</v>
      </c>
      <c r="AP4">
        <v>0</v>
      </c>
      <c r="AQ4">
        <v>0</v>
      </c>
      <c r="AR4">
        <v>9922</v>
      </c>
      <c r="AS4">
        <v>9922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37800</v>
      </c>
      <c r="BI4">
        <v>37800</v>
      </c>
      <c r="BJ4">
        <v>0</v>
      </c>
      <c r="BK4">
        <v>0</v>
      </c>
      <c r="BL4">
        <v>0</v>
      </c>
      <c r="BM4">
        <v>200</v>
      </c>
      <c r="BN4">
        <v>0</v>
      </c>
      <c r="BO4">
        <v>0</v>
      </c>
      <c r="BP4">
        <v>1800</v>
      </c>
      <c r="BQ4">
        <v>0</v>
      </c>
      <c r="BR4">
        <v>1800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2000</v>
      </c>
      <c r="CZ4">
        <v>35800</v>
      </c>
      <c r="DA4" t="s">
        <v>118</v>
      </c>
      <c r="DB4" t="s">
        <v>118</v>
      </c>
      <c r="DC4">
        <v>35800</v>
      </c>
      <c r="DE4">
        <v>35800</v>
      </c>
      <c r="DF4">
        <f t="shared" si="0"/>
        <v>0</v>
      </c>
    </row>
    <row r="5" spans="1:111">
      <c r="A5" t="s">
        <v>147</v>
      </c>
      <c r="B5" t="s">
        <v>148</v>
      </c>
      <c r="C5" t="s">
        <v>149</v>
      </c>
      <c r="D5" t="s">
        <v>150</v>
      </c>
      <c r="E5" t="s">
        <v>113</v>
      </c>
      <c r="F5" t="s">
        <v>114</v>
      </c>
      <c r="G5" t="s">
        <v>115</v>
      </c>
      <c r="H5" t="s">
        <v>113</v>
      </c>
      <c r="I5" t="s">
        <v>116</v>
      </c>
      <c r="J5" t="s">
        <v>117</v>
      </c>
      <c r="K5" t="s">
        <v>118</v>
      </c>
      <c r="L5" t="s">
        <v>118</v>
      </c>
      <c r="M5" t="s">
        <v>113</v>
      </c>
      <c r="N5" t="s">
        <v>118</v>
      </c>
      <c r="O5" t="s">
        <v>118</v>
      </c>
      <c r="P5" t="s">
        <v>117</v>
      </c>
      <c r="Q5" t="s">
        <v>117</v>
      </c>
      <c r="R5" t="s">
        <v>151</v>
      </c>
      <c r="S5" t="s">
        <v>152</v>
      </c>
      <c r="T5" t="s">
        <v>121</v>
      </c>
      <c r="U5" t="s">
        <v>122</v>
      </c>
      <c r="V5" t="s">
        <v>153</v>
      </c>
      <c r="W5" t="s">
        <v>135</v>
      </c>
      <c r="X5" t="s">
        <v>154</v>
      </c>
      <c r="Y5" t="s">
        <v>155</v>
      </c>
      <c r="Z5">
        <v>333333</v>
      </c>
      <c r="AA5">
        <v>333333</v>
      </c>
      <c r="AB5">
        <v>0</v>
      </c>
      <c r="AC5">
        <v>133333</v>
      </c>
      <c r="AD5">
        <v>133333</v>
      </c>
      <c r="AE5">
        <v>0</v>
      </c>
      <c r="AF5">
        <v>36667</v>
      </c>
      <c r="AG5">
        <v>36667</v>
      </c>
      <c r="AH5">
        <v>0</v>
      </c>
      <c r="AI5">
        <v>0</v>
      </c>
      <c r="AJ5">
        <v>0</v>
      </c>
      <c r="AK5">
        <v>0</v>
      </c>
      <c r="AL5">
        <v>10000</v>
      </c>
      <c r="AM5">
        <v>10000</v>
      </c>
      <c r="AN5">
        <v>0</v>
      </c>
      <c r="AO5">
        <v>0</v>
      </c>
      <c r="AP5">
        <v>0</v>
      </c>
      <c r="AQ5">
        <v>0</v>
      </c>
      <c r="AR5">
        <v>280000</v>
      </c>
      <c r="AS5">
        <v>280000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793333</v>
      </c>
      <c r="BI5">
        <v>793333</v>
      </c>
      <c r="BJ5">
        <v>0</v>
      </c>
      <c r="BK5">
        <v>0</v>
      </c>
      <c r="BL5">
        <v>230087</v>
      </c>
      <c r="BM5">
        <v>200</v>
      </c>
      <c r="BN5">
        <v>0</v>
      </c>
      <c r="BO5">
        <v>0</v>
      </c>
      <c r="BP5">
        <v>40000</v>
      </c>
      <c r="BQ5">
        <v>0</v>
      </c>
      <c r="BR5">
        <v>40000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270287</v>
      </c>
      <c r="CZ5">
        <v>523046</v>
      </c>
      <c r="DA5" t="s">
        <v>118</v>
      </c>
      <c r="DB5" t="s">
        <v>118</v>
      </c>
      <c r="DC5">
        <v>523046</v>
      </c>
      <c r="DE5">
        <v>523046</v>
      </c>
      <c r="DF5">
        <f t="shared" si="0"/>
        <v>0</v>
      </c>
    </row>
    <row r="6" spans="1:111">
      <c r="A6" t="s">
        <v>156</v>
      </c>
      <c r="B6" t="s">
        <v>157</v>
      </c>
      <c r="C6" t="s">
        <v>158</v>
      </c>
      <c r="D6" t="s">
        <v>159</v>
      </c>
      <c r="E6" t="s">
        <v>113</v>
      </c>
      <c r="F6" t="s">
        <v>114</v>
      </c>
      <c r="G6" t="s">
        <v>115</v>
      </c>
      <c r="H6" t="s">
        <v>113</v>
      </c>
      <c r="I6" t="s">
        <v>116</v>
      </c>
      <c r="J6" t="s">
        <v>117</v>
      </c>
      <c r="K6" t="s">
        <v>118</v>
      </c>
      <c r="L6" t="s">
        <v>118</v>
      </c>
      <c r="M6" t="s">
        <v>113</v>
      </c>
      <c r="N6" t="s">
        <v>118</v>
      </c>
      <c r="O6" t="s">
        <v>118</v>
      </c>
      <c r="P6" t="s">
        <v>117</v>
      </c>
      <c r="Q6" t="s">
        <v>117</v>
      </c>
      <c r="R6" t="s">
        <v>160</v>
      </c>
      <c r="S6" t="s">
        <v>161</v>
      </c>
      <c r="T6" t="s">
        <v>121</v>
      </c>
      <c r="U6" t="s">
        <v>122</v>
      </c>
      <c r="V6" t="s">
        <v>162</v>
      </c>
      <c r="W6" t="s">
        <v>135</v>
      </c>
      <c r="X6" t="s">
        <v>163</v>
      </c>
      <c r="Y6" t="s">
        <v>164</v>
      </c>
      <c r="Z6">
        <v>137602</v>
      </c>
      <c r="AA6">
        <v>137602</v>
      </c>
      <c r="AB6">
        <v>0</v>
      </c>
      <c r="AC6">
        <v>55041</v>
      </c>
      <c r="AD6">
        <v>55041</v>
      </c>
      <c r="AE6">
        <v>0</v>
      </c>
      <c r="AF6">
        <v>15136</v>
      </c>
      <c r="AG6">
        <v>15136</v>
      </c>
      <c r="AH6">
        <v>0</v>
      </c>
      <c r="AI6">
        <v>0</v>
      </c>
      <c r="AJ6">
        <v>0</v>
      </c>
      <c r="AK6">
        <v>0</v>
      </c>
      <c r="AL6">
        <v>10000</v>
      </c>
      <c r="AM6">
        <v>10000</v>
      </c>
      <c r="AN6">
        <v>0</v>
      </c>
      <c r="AO6">
        <v>0</v>
      </c>
      <c r="AP6">
        <v>0</v>
      </c>
      <c r="AQ6">
        <v>0</v>
      </c>
      <c r="AR6">
        <v>124426</v>
      </c>
      <c r="AS6">
        <v>124426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342205</v>
      </c>
      <c r="BI6">
        <v>342205</v>
      </c>
      <c r="BJ6">
        <v>0</v>
      </c>
      <c r="BK6">
        <v>0</v>
      </c>
      <c r="BL6">
        <v>68418</v>
      </c>
      <c r="BM6">
        <v>200</v>
      </c>
      <c r="BN6">
        <v>0</v>
      </c>
      <c r="BO6">
        <v>0</v>
      </c>
      <c r="BP6">
        <v>1800</v>
      </c>
      <c r="BQ6">
        <v>0</v>
      </c>
      <c r="BR6">
        <v>1800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70418</v>
      </c>
      <c r="CZ6">
        <v>271787</v>
      </c>
      <c r="DA6" t="s">
        <v>118</v>
      </c>
      <c r="DB6" t="s">
        <v>118</v>
      </c>
      <c r="DC6">
        <v>271787</v>
      </c>
      <c r="DE6">
        <v>271787</v>
      </c>
      <c r="DF6">
        <f t="shared" si="0"/>
        <v>0</v>
      </c>
    </row>
    <row r="7" spans="1:111">
      <c r="A7" t="s">
        <v>165</v>
      </c>
      <c r="B7" t="s">
        <v>166</v>
      </c>
      <c r="C7" t="s">
        <v>158</v>
      </c>
      <c r="D7" t="s">
        <v>167</v>
      </c>
      <c r="E7" t="s">
        <v>113</v>
      </c>
      <c r="F7" t="s">
        <v>114</v>
      </c>
      <c r="G7" t="s">
        <v>115</v>
      </c>
      <c r="H7" t="s">
        <v>113</v>
      </c>
      <c r="I7" t="s">
        <v>116</v>
      </c>
      <c r="J7" t="s">
        <v>117</v>
      </c>
      <c r="K7" t="s">
        <v>118</v>
      </c>
      <c r="L7" t="s">
        <v>118</v>
      </c>
      <c r="M7" t="s">
        <v>113</v>
      </c>
      <c r="N7" t="s">
        <v>118</v>
      </c>
      <c r="O7" t="s">
        <v>118</v>
      </c>
      <c r="P7" t="s">
        <v>117</v>
      </c>
      <c r="Q7" t="s">
        <v>117</v>
      </c>
      <c r="R7" t="s">
        <v>168</v>
      </c>
      <c r="S7" t="s">
        <v>169</v>
      </c>
      <c r="T7" t="s">
        <v>121</v>
      </c>
      <c r="U7" t="s">
        <v>122</v>
      </c>
      <c r="V7" t="s">
        <v>170</v>
      </c>
      <c r="W7" t="s">
        <v>124</v>
      </c>
      <c r="X7" t="s">
        <v>171</v>
      </c>
      <c r="Y7" t="s">
        <v>172</v>
      </c>
      <c r="Z7">
        <v>92030</v>
      </c>
      <c r="AA7">
        <v>92030</v>
      </c>
      <c r="AB7">
        <v>0</v>
      </c>
      <c r="AC7">
        <v>36812</v>
      </c>
      <c r="AD7">
        <v>36812</v>
      </c>
      <c r="AE7">
        <v>0</v>
      </c>
      <c r="AF7">
        <v>10123</v>
      </c>
      <c r="AG7">
        <v>10123</v>
      </c>
      <c r="AH7">
        <v>0</v>
      </c>
      <c r="AI7">
        <v>0</v>
      </c>
      <c r="AJ7">
        <v>0</v>
      </c>
      <c r="AK7">
        <v>0</v>
      </c>
      <c r="AL7">
        <v>10000</v>
      </c>
      <c r="AM7">
        <v>10000</v>
      </c>
      <c r="AN7">
        <v>0</v>
      </c>
      <c r="AO7">
        <v>0</v>
      </c>
      <c r="AP7">
        <v>0</v>
      </c>
      <c r="AQ7">
        <v>0</v>
      </c>
      <c r="AR7">
        <v>70067</v>
      </c>
      <c r="AS7">
        <v>70067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219032</v>
      </c>
      <c r="BI7">
        <v>219032</v>
      </c>
      <c r="BJ7">
        <v>0</v>
      </c>
      <c r="BK7">
        <v>0</v>
      </c>
      <c r="BL7">
        <v>29988</v>
      </c>
      <c r="BM7">
        <v>200</v>
      </c>
      <c r="BN7">
        <v>0</v>
      </c>
      <c r="BO7">
        <v>0</v>
      </c>
      <c r="BP7">
        <v>11044</v>
      </c>
      <c r="BQ7">
        <v>0</v>
      </c>
      <c r="BR7">
        <v>11044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41232</v>
      </c>
      <c r="CZ7">
        <v>177800</v>
      </c>
      <c r="DA7" t="s">
        <v>118</v>
      </c>
      <c r="DB7" t="s">
        <v>118</v>
      </c>
      <c r="DC7">
        <v>177800</v>
      </c>
      <c r="DE7">
        <v>177800</v>
      </c>
      <c r="DF7">
        <f t="shared" si="0"/>
        <v>0</v>
      </c>
    </row>
    <row r="8" spans="1:111">
      <c r="A8" t="s">
        <v>173</v>
      </c>
      <c r="B8" t="s">
        <v>174</v>
      </c>
      <c r="C8" t="s">
        <v>158</v>
      </c>
      <c r="D8" t="s">
        <v>175</v>
      </c>
      <c r="E8" t="s">
        <v>113</v>
      </c>
      <c r="F8" t="s">
        <v>114</v>
      </c>
      <c r="G8" t="s">
        <v>115</v>
      </c>
      <c r="H8" t="s">
        <v>113</v>
      </c>
      <c r="I8" t="s">
        <v>116</v>
      </c>
      <c r="J8" t="s">
        <v>117</v>
      </c>
      <c r="K8" t="s">
        <v>118</v>
      </c>
      <c r="L8" t="s">
        <v>118</v>
      </c>
      <c r="M8" t="s">
        <v>113</v>
      </c>
      <c r="N8" t="s">
        <v>118</v>
      </c>
      <c r="O8" t="s">
        <v>118</v>
      </c>
      <c r="P8" t="s">
        <v>117</v>
      </c>
      <c r="Q8" t="s">
        <v>117</v>
      </c>
      <c r="R8" t="s">
        <v>176</v>
      </c>
      <c r="S8" t="s">
        <v>161</v>
      </c>
      <c r="T8" t="s">
        <v>121</v>
      </c>
      <c r="U8" t="s">
        <v>122</v>
      </c>
      <c r="V8" t="s">
        <v>177</v>
      </c>
      <c r="W8" t="s">
        <v>135</v>
      </c>
      <c r="X8" t="s">
        <v>178</v>
      </c>
      <c r="Y8" t="s">
        <v>179</v>
      </c>
      <c r="Z8">
        <v>52780</v>
      </c>
      <c r="AA8">
        <v>52780</v>
      </c>
      <c r="AB8">
        <v>0</v>
      </c>
      <c r="AC8">
        <v>21112</v>
      </c>
      <c r="AD8">
        <v>21112</v>
      </c>
      <c r="AE8">
        <v>0</v>
      </c>
      <c r="AF8">
        <v>5806</v>
      </c>
      <c r="AG8">
        <v>5806</v>
      </c>
      <c r="AH8">
        <v>0</v>
      </c>
      <c r="AI8">
        <v>0</v>
      </c>
      <c r="AJ8">
        <v>0</v>
      </c>
      <c r="AK8">
        <v>0</v>
      </c>
      <c r="AL8">
        <v>10000</v>
      </c>
      <c r="AM8">
        <v>10000</v>
      </c>
      <c r="AN8">
        <v>0</v>
      </c>
      <c r="AO8">
        <v>0</v>
      </c>
      <c r="AP8">
        <v>0</v>
      </c>
      <c r="AQ8">
        <v>0</v>
      </c>
      <c r="AR8">
        <v>40452</v>
      </c>
      <c r="AS8">
        <v>40452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130150</v>
      </c>
      <c r="BI8">
        <v>130150</v>
      </c>
      <c r="BJ8">
        <v>0</v>
      </c>
      <c r="BK8">
        <v>0</v>
      </c>
      <c r="BL8">
        <v>8929</v>
      </c>
      <c r="BM8">
        <v>200</v>
      </c>
      <c r="BN8">
        <v>0</v>
      </c>
      <c r="BO8">
        <v>0</v>
      </c>
      <c r="BP8">
        <v>1800</v>
      </c>
      <c r="BQ8">
        <v>0</v>
      </c>
      <c r="BR8">
        <v>1800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10929</v>
      </c>
      <c r="CZ8">
        <v>119221</v>
      </c>
      <c r="DA8" t="s">
        <v>118</v>
      </c>
      <c r="DB8" t="s">
        <v>118</v>
      </c>
      <c r="DC8">
        <v>119221</v>
      </c>
      <c r="DE8">
        <v>119222</v>
      </c>
      <c r="DF8">
        <f t="shared" si="0"/>
        <v>-1</v>
      </c>
    </row>
    <row r="9" spans="1:111">
      <c r="A9" t="s">
        <v>180</v>
      </c>
      <c r="B9" t="s">
        <v>181</v>
      </c>
      <c r="C9" t="s">
        <v>182</v>
      </c>
      <c r="D9" t="s">
        <v>183</v>
      </c>
      <c r="E9" t="s">
        <v>113</v>
      </c>
      <c r="F9" t="s">
        <v>114</v>
      </c>
      <c r="G9" t="s">
        <v>115</v>
      </c>
      <c r="H9" t="s">
        <v>113</v>
      </c>
      <c r="I9" t="s">
        <v>116</v>
      </c>
      <c r="J9" t="s">
        <v>117</v>
      </c>
      <c r="K9" t="s">
        <v>118</v>
      </c>
      <c r="L9" t="s">
        <v>118</v>
      </c>
      <c r="M9" t="s">
        <v>113</v>
      </c>
      <c r="N9" t="s">
        <v>118</v>
      </c>
      <c r="O9" t="s">
        <v>118</v>
      </c>
      <c r="P9" t="s">
        <v>117</v>
      </c>
      <c r="Q9" t="s">
        <v>117</v>
      </c>
      <c r="R9" t="s">
        <v>184</v>
      </c>
      <c r="S9" t="s">
        <v>169</v>
      </c>
      <c r="T9" t="s">
        <v>121</v>
      </c>
      <c r="U9" t="s">
        <v>122</v>
      </c>
      <c r="V9" t="s">
        <v>185</v>
      </c>
      <c r="W9" t="s">
        <v>135</v>
      </c>
      <c r="X9" t="s">
        <v>186</v>
      </c>
      <c r="Y9" t="s">
        <v>187</v>
      </c>
      <c r="Z9">
        <v>86909</v>
      </c>
      <c r="AA9">
        <v>86909</v>
      </c>
      <c r="AB9">
        <v>0</v>
      </c>
      <c r="AC9">
        <v>34764</v>
      </c>
      <c r="AD9">
        <v>34764</v>
      </c>
      <c r="AE9">
        <v>0</v>
      </c>
      <c r="AF9">
        <v>9560</v>
      </c>
      <c r="AG9">
        <v>9560</v>
      </c>
      <c r="AH9">
        <v>0</v>
      </c>
      <c r="AI9">
        <v>0</v>
      </c>
      <c r="AJ9">
        <v>0</v>
      </c>
      <c r="AK9">
        <v>0</v>
      </c>
      <c r="AL9">
        <v>10000</v>
      </c>
      <c r="AM9">
        <v>10000</v>
      </c>
      <c r="AN9">
        <v>0</v>
      </c>
      <c r="AO9">
        <v>2200</v>
      </c>
      <c r="AP9">
        <v>2200</v>
      </c>
      <c r="AQ9">
        <v>0</v>
      </c>
      <c r="AR9">
        <v>63411</v>
      </c>
      <c r="AS9">
        <v>63411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206844</v>
      </c>
      <c r="BI9">
        <v>206844</v>
      </c>
      <c r="BJ9">
        <v>2200</v>
      </c>
      <c r="BK9">
        <v>0</v>
      </c>
      <c r="BL9">
        <v>26186</v>
      </c>
      <c r="BM9">
        <v>200</v>
      </c>
      <c r="BN9">
        <v>0</v>
      </c>
      <c r="BO9">
        <v>0</v>
      </c>
      <c r="BP9">
        <v>10429</v>
      </c>
      <c r="BQ9">
        <v>0</v>
      </c>
      <c r="BR9">
        <v>10429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39015</v>
      </c>
      <c r="CZ9">
        <v>167829</v>
      </c>
      <c r="DA9" t="s">
        <v>118</v>
      </c>
      <c r="DB9" t="s">
        <v>118</v>
      </c>
      <c r="DC9">
        <v>167829</v>
      </c>
      <c r="DE9">
        <v>167830</v>
      </c>
      <c r="DF9">
        <f t="shared" si="0"/>
        <v>-1</v>
      </c>
    </row>
    <row r="10" spans="1:111">
      <c r="A10" t="s">
        <v>188</v>
      </c>
      <c r="B10" t="s">
        <v>189</v>
      </c>
      <c r="C10" t="s">
        <v>158</v>
      </c>
      <c r="D10" t="s">
        <v>190</v>
      </c>
      <c r="E10" t="s">
        <v>113</v>
      </c>
      <c r="F10" t="s">
        <v>114</v>
      </c>
      <c r="G10" t="s">
        <v>115</v>
      </c>
      <c r="H10" t="s">
        <v>113</v>
      </c>
      <c r="I10" t="s">
        <v>116</v>
      </c>
      <c r="J10" t="s">
        <v>117</v>
      </c>
      <c r="K10" t="s">
        <v>118</v>
      </c>
      <c r="L10" t="s">
        <v>118</v>
      </c>
      <c r="M10" t="s">
        <v>113</v>
      </c>
      <c r="N10" t="s">
        <v>118</v>
      </c>
      <c r="O10" t="s">
        <v>118</v>
      </c>
      <c r="P10" t="s">
        <v>117</v>
      </c>
      <c r="Q10" t="s">
        <v>117</v>
      </c>
      <c r="R10" t="s">
        <v>191</v>
      </c>
      <c r="S10" t="s">
        <v>192</v>
      </c>
      <c r="T10" t="s">
        <v>121</v>
      </c>
      <c r="U10" t="s">
        <v>122</v>
      </c>
      <c r="V10" t="s">
        <v>193</v>
      </c>
      <c r="W10" t="s">
        <v>124</v>
      </c>
      <c r="X10" t="s">
        <v>194</v>
      </c>
      <c r="Y10" t="s">
        <v>195</v>
      </c>
      <c r="Z10">
        <v>60217</v>
      </c>
      <c r="AA10">
        <v>60217</v>
      </c>
      <c r="AB10">
        <v>0</v>
      </c>
      <c r="AC10">
        <v>24087</v>
      </c>
      <c r="AD10">
        <v>24087</v>
      </c>
      <c r="AE10">
        <v>0</v>
      </c>
      <c r="AF10">
        <v>6624</v>
      </c>
      <c r="AG10">
        <v>6624</v>
      </c>
      <c r="AH10">
        <v>0</v>
      </c>
      <c r="AI10">
        <v>0</v>
      </c>
      <c r="AJ10">
        <v>0</v>
      </c>
      <c r="AK10">
        <v>0</v>
      </c>
      <c r="AL10">
        <v>10000</v>
      </c>
      <c r="AM10">
        <v>10000</v>
      </c>
      <c r="AN10">
        <v>0</v>
      </c>
      <c r="AO10">
        <v>0</v>
      </c>
      <c r="AP10">
        <v>0</v>
      </c>
      <c r="AQ10">
        <v>0</v>
      </c>
      <c r="AR10">
        <v>47814</v>
      </c>
      <c r="AS10">
        <v>47814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148742</v>
      </c>
      <c r="BI10">
        <v>148742</v>
      </c>
      <c r="BJ10">
        <v>0</v>
      </c>
      <c r="BK10">
        <v>0</v>
      </c>
      <c r="BL10">
        <v>12305</v>
      </c>
      <c r="BM10">
        <v>200</v>
      </c>
      <c r="BN10">
        <v>0</v>
      </c>
      <c r="BO10">
        <v>0</v>
      </c>
      <c r="BP10">
        <v>1800</v>
      </c>
      <c r="BQ10">
        <v>0</v>
      </c>
      <c r="BR10">
        <v>1800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14305</v>
      </c>
      <c r="CZ10">
        <v>134437</v>
      </c>
      <c r="DA10" t="s">
        <v>118</v>
      </c>
      <c r="DB10" t="s">
        <v>118</v>
      </c>
      <c r="DC10">
        <v>134437</v>
      </c>
      <c r="DE10">
        <v>134437</v>
      </c>
      <c r="DF10">
        <f t="shared" si="0"/>
        <v>0</v>
      </c>
    </row>
    <row r="11" spans="1:111">
      <c r="A11" t="s">
        <v>196</v>
      </c>
      <c r="B11" t="s">
        <v>197</v>
      </c>
      <c r="C11" t="s">
        <v>158</v>
      </c>
      <c r="D11" t="s">
        <v>198</v>
      </c>
      <c r="E11" t="s">
        <v>113</v>
      </c>
      <c r="F11" t="s">
        <v>114</v>
      </c>
      <c r="G11" t="s">
        <v>115</v>
      </c>
      <c r="H11" t="s">
        <v>113</v>
      </c>
      <c r="I11" t="s">
        <v>116</v>
      </c>
      <c r="J11" t="s">
        <v>117</v>
      </c>
      <c r="K11" t="s">
        <v>118</v>
      </c>
      <c r="L11" t="s">
        <v>118</v>
      </c>
      <c r="M11" t="s">
        <v>113</v>
      </c>
      <c r="N11" t="s">
        <v>199</v>
      </c>
      <c r="O11" t="s">
        <v>118</v>
      </c>
      <c r="P11" t="s">
        <v>117</v>
      </c>
      <c r="Q11" t="s">
        <v>117</v>
      </c>
      <c r="R11" t="s">
        <v>200</v>
      </c>
      <c r="S11" t="s">
        <v>169</v>
      </c>
      <c r="T11" t="s">
        <v>121</v>
      </c>
      <c r="U11" t="s">
        <v>122</v>
      </c>
      <c r="V11" t="s">
        <v>201</v>
      </c>
      <c r="W11" t="s">
        <v>135</v>
      </c>
      <c r="X11" t="s">
        <v>202</v>
      </c>
      <c r="Y11" t="s">
        <v>203</v>
      </c>
      <c r="Z11">
        <v>159488</v>
      </c>
      <c r="AA11">
        <v>159488</v>
      </c>
      <c r="AB11">
        <v>9845</v>
      </c>
      <c r="AC11">
        <v>63795</v>
      </c>
      <c r="AD11">
        <v>63795</v>
      </c>
      <c r="AE11">
        <v>3938</v>
      </c>
      <c r="AF11">
        <v>17544</v>
      </c>
      <c r="AG11">
        <v>17544</v>
      </c>
      <c r="AH11">
        <v>1083</v>
      </c>
      <c r="AI11">
        <v>0</v>
      </c>
      <c r="AJ11">
        <v>0</v>
      </c>
      <c r="AK11">
        <v>0</v>
      </c>
      <c r="AL11">
        <v>10000</v>
      </c>
      <c r="AM11">
        <v>10000</v>
      </c>
      <c r="AN11">
        <v>0</v>
      </c>
      <c r="AO11">
        <v>2200</v>
      </c>
      <c r="AP11">
        <v>2200</v>
      </c>
      <c r="AQ11">
        <v>0</v>
      </c>
      <c r="AR11">
        <v>126554</v>
      </c>
      <c r="AS11">
        <v>126554</v>
      </c>
      <c r="AT11">
        <v>8565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403012</v>
      </c>
      <c r="BI11">
        <v>403012</v>
      </c>
      <c r="BJ11">
        <v>2200</v>
      </c>
      <c r="BK11">
        <v>0</v>
      </c>
      <c r="BL11">
        <v>81541</v>
      </c>
      <c r="BM11">
        <v>200</v>
      </c>
      <c r="BN11">
        <v>0</v>
      </c>
      <c r="BO11">
        <v>0</v>
      </c>
      <c r="BP11">
        <v>19139</v>
      </c>
      <c r="BQ11">
        <v>1181</v>
      </c>
      <c r="BR11">
        <v>19139</v>
      </c>
      <c r="BS11">
        <v>1181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104261</v>
      </c>
      <c r="CZ11">
        <v>298751</v>
      </c>
      <c r="DA11" t="s">
        <v>118</v>
      </c>
      <c r="DB11" t="s">
        <v>118</v>
      </c>
      <c r="DC11">
        <v>298751</v>
      </c>
      <c r="DE11">
        <v>260036</v>
      </c>
      <c r="DF11">
        <f t="shared" si="0"/>
        <v>38715</v>
      </c>
      <c r="DG11" s="3" t="s">
        <v>204</v>
      </c>
    </row>
    <row r="12" spans="1:111" s="5" customFormat="1">
      <c r="A12" s="5" t="s">
        <v>205</v>
      </c>
      <c r="B12" s="5" t="s">
        <v>206</v>
      </c>
      <c r="C12" t="s">
        <v>158</v>
      </c>
      <c r="D12" s="5" t="s">
        <v>207</v>
      </c>
      <c r="E12" s="5" t="s">
        <v>113</v>
      </c>
      <c r="F12" s="5" t="s">
        <v>114</v>
      </c>
      <c r="G12" s="5" t="s">
        <v>115</v>
      </c>
      <c r="H12" s="5" t="s">
        <v>113</v>
      </c>
      <c r="I12" s="5" t="s">
        <v>116</v>
      </c>
      <c r="J12" s="5" t="s">
        <v>117</v>
      </c>
      <c r="K12" s="5" t="s">
        <v>118</v>
      </c>
      <c r="L12" s="5" t="s">
        <v>118</v>
      </c>
      <c r="M12" s="5" t="s">
        <v>113</v>
      </c>
      <c r="N12" s="5" t="s">
        <v>199</v>
      </c>
      <c r="O12" s="5" t="s">
        <v>118</v>
      </c>
      <c r="P12" s="5" t="s">
        <v>117</v>
      </c>
      <c r="Q12" s="5" t="s">
        <v>117</v>
      </c>
      <c r="R12" s="5" t="s">
        <v>208</v>
      </c>
      <c r="S12" s="5" t="s">
        <v>169</v>
      </c>
      <c r="T12" s="5" t="s">
        <v>121</v>
      </c>
      <c r="U12" s="5" t="s">
        <v>122</v>
      </c>
      <c r="V12" s="5" t="s">
        <v>209</v>
      </c>
      <c r="W12" s="5" t="s">
        <v>135</v>
      </c>
      <c r="X12" s="5" t="s">
        <v>210</v>
      </c>
      <c r="Y12" s="5" t="s">
        <v>211</v>
      </c>
      <c r="Z12" s="5">
        <v>114683</v>
      </c>
      <c r="AA12" s="5">
        <v>114683</v>
      </c>
      <c r="AB12" s="5">
        <v>11812</v>
      </c>
      <c r="AC12" s="5">
        <v>45873</v>
      </c>
      <c r="AD12" s="5">
        <v>45873</v>
      </c>
      <c r="AE12" s="5">
        <v>4726</v>
      </c>
      <c r="AF12" s="5">
        <v>12615</v>
      </c>
      <c r="AG12" s="5">
        <v>12615</v>
      </c>
      <c r="AH12" s="5">
        <v>1300</v>
      </c>
      <c r="AI12" s="5">
        <v>0</v>
      </c>
      <c r="AJ12" s="5">
        <v>0</v>
      </c>
      <c r="AK12" s="5">
        <v>0</v>
      </c>
      <c r="AL12" s="5">
        <v>10000</v>
      </c>
      <c r="AM12" s="5">
        <v>10000</v>
      </c>
      <c r="AN12" s="5">
        <v>0</v>
      </c>
      <c r="AO12" s="5">
        <v>2200</v>
      </c>
      <c r="AP12" s="5">
        <v>2200</v>
      </c>
      <c r="AQ12" s="5">
        <v>0</v>
      </c>
      <c r="AR12" s="5">
        <v>87574</v>
      </c>
      <c r="AS12" s="5">
        <v>87574</v>
      </c>
      <c r="AT12" s="5">
        <v>10277</v>
      </c>
      <c r="AU12" s="5">
        <v>0</v>
      </c>
      <c r="AV12" s="5">
        <v>0</v>
      </c>
      <c r="AW12" s="5">
        <v>0</v>
      </c>
      <c r="AX12" s="5">
        <v>4108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4108</v>
      </c>
      <c r="BH12" s="5">
        <v>305168</v>
      </c>
      <c r="BI12" s="5">
        <v>305168</v>
      </c>
      <c r="BJ12" s="5">
        <v>2200</v>
      </c>
      <c r="BK12" s="5">
        <v>0</v>
      </c>
      <c r="BL12" s="5">
        <v>48820</v>
      </c>
      <c r="BM12" s="5">
        <v>200</v>
      </c>
      <c r="BN12" s="5">
        <v>0</v>
      </c>
      <c r="BO12" s="5">
        <v>0</v>
      </c>
      <c r="BP12" s="5">
        <v>13762</v>
      </c>
      <c r="BQ12" s="5">
        <v>1625</v>
      </c>
      <c r="BR12" s="5">
        <v>13762</v>
      </c>
      <c r="BS12" s="5">
        <v>1418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207</v>
      </c>
      <c r="CV12" s="5">
        <v>0</v>
      </c>
      <c r="CW12" s="5">
        <v>207</v>
      </c>
      <c r="CX12" s="5">
        <v>0</v>
      </c>
      <c r="CY12" s="5">
        <v>66607</v>
      </c>
      <c r="CZ12" s="5">
        <v>238561</v>
      </c>
      <c r="DA12" s="5" t="s">
        <v>118</v>
      </c>
      <c r="DB12" s="5" t="s">
        <v>118</v>
      </c>
      <c r="DC12" s="5">
        <v>238561</v>
      </c>
      <c r="DE12" s="5">
        <v>185321</v>
      </c>
      <c r="DF12" s="5">
        <f>DC12-DE12</f>
        <v>53240</v>
      </c>
    </row>
    <row r="13" spans="1:111">
      <c r="A13" t="s">
        <v>212</v>
      </c>
      <c r="B13" t="s">
        <v>213</v>
      </c>
      <c r="C13" t="s">
        <v>158</v>
      </c>
      <c r="D13" t="s">
        <v>214</v>
      </c>
      <c r="E13" t="s">
        <v>113</v>
      </c>
      <c r="F13" t="s">
        <v>114</v>
      </c>
      <c r="G13" t="s">
        <v>115</v>
      </c>
      <c r="H13" t="s">
        <v>113</v>
      </c>
      <c r="I13" t="s">
        <v>116</v>
      </c>
      <c r="J13" t="s">
        <v>117</v>
      </c>
      <c r="K13" t="s">
        <v>118</v>
      </c>
      <c r="L13" t="s">
        <v>118</v>
      </c>
      <c r="M13" t="s">
        <v>113</v>
      </c>
      <c r="N13" t="s">
        <v>118</v>
      </c>
      <c r="O13" t="s">
        <v>118</v>
      </c>
      <c r="P13" t="s">
        <v>117</v>
      </c>
      <c r="Q13" t="s">
        <v>117</v>
      </c>
      <c r="R13" t="s">
        <v>215</v>
      </c>
      <c r="S13" t="s">
        <v>161</v>
      </c>
      <c r="T13" t="s">
        <v>121</v>
      </c>
      <c r="U13" t="s">
        <v>122</v>
      </c>
      <c r="V13" t="s">
        <v>216</v>
      </c>
      <c r="W13" t="s">
        <v>135</v>
      </c>
      <c r="X13" t="s">
        <v>217</v>
      </c>
      <c r="Y13" t="s">
        <v>218</v>
      </c>
      <c r="Z13">
        <v>155096</v>
      </c>
      <c r="AA13">
        <v>155096</v>
      </c>
      <c r="AB13">
        <v>0</v>
      </c>
      <c r="AC13">
        <v>62039</v>
      </c>
      <c r="AD13">
        <v>62039</v>
      </c>
      <c r="AE13">
        <v>0</v>
      </c>
      <c r="AF13">
        <v>17061</v>
      </c>
      <c r="AG13">
        <v>17061</v>
      </c>
      <c r="AH13">
        <v>0</v>
      </c>
      <c r="AI13">
        <v>0</v>
      </c>
      <c r="AJ13">
        <v>0</v>
      </c>
      <c r="AK13">
        <v>0</v>
      </c>
      <c r="AL13">
        <v>10000</v>
      </c>
      <c r="AM13">
        <v>10000</v>
      </c>
      <c r="AN13">
        <v>0</v>
      </c>
      <c r="AO13">
        <v>0</v>
      </c>
      <c r="AP13">
        <v>0</v>
      </c>
      <c r="AQ13">
        <v>0</v>
      </c>
      <c r="AR13">
        <v>141745</v>
      </c>
      <c r="AS13">
        <v>141745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385941</v>
      </c>
      <c r="BI13">
        <v>385941</v>
      </c>
      <c r="BJ13">
        <v>0</v>
      </c>
      <c r="BK13">
        <v>0</v>
      </c>
      <c r="BL13">
        <v>82064</v>
      </c>
      <c r="BM13">
        <v>200</v>
      </c>
      <c r="BN13">
        <v>0</v>
      </c>
      <c r="BO13">
        <v>0</v>
      </c>
      <c r="BP13">
        <v>1800</v>
      </c>
      <c r="BQ13">
        <v>0</v>
      </c>
      <c r="BR13">
        <v>1800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84064</v>
      </c>
      <c r="CZ13">
        <v>301877</v>
      </c>
      <c r="DA13" t="s">
        <v>118</v>
      </c>
      <c r="DB13" t="s">
        <v>118</v>
      </c>
      <c r="DC13">
        <v>301877</v>
      </c>
      <c r="DE13">
        <v>301877</v>
      </c>
      <c r="DF13">
        <f t="shared" si="0"/>
        <v>0</v>
      </c>
    </row>
    <row r="14" spans="1:111">
      <c r="A14" t="s">
        <v>219</v>
      </c>
      <c r="B14" t="s">
        <v>220</v>
      </c>
      <c r="C14" t="s">
        <v>158</v>
      </c>
      <c r="D14" t="s">
        <v>221</v>
      </c>
      <c r="E14" t="s">
        <v>113</v>
      </c>
      <c r="F14" t="s">
        <v>114</v>
      </c>
      <c r="G14" t="s">
        <v>115</v>
      </c>
      <c r="H14" t="s">
        <v>113</v>
      </c>
      <c r="I14" t="s">
        <v>116</v>
      </c>
      <c r="J14" t="s">
        <v>117</v>
      </c>
      <c r="K14" t="s">
        <v>118</v>
      </c>
      <c r="L14" t="s">
        <v>118</v>
      </c>
      <c r="M14" t="s">
        <v>113</v>
      </c>
      <c r="N14" t="s">
        <v>199</v>
      </c>
      <c r="O14" t="s">
        <v>118</v>
      </c>
      <c r="P14" t="s">
        <v>117</v>
      </c>
      <c r="Q14" t="s">
        <v>117</v>
      </c>
      <c r="R14" t="s">
        <v>222</v>
      </c>
      <c r="S14" t="s">
        <v>169</v>
      </c>
      <c r="T14" t="s">
        <v>121</v>
      </c>
      <c r="U14" t="s">
        <v>122</v>
      </c>
      <c r="V14" t="s">
        <v>223</v>
      </c>
      <c r="W14" t="s">
        <v>135</v>
      </c>
      <c r="X14" t="s">
        <v>224</v>
      </c>
      <c r="Y14" t="s">
        <v>225</v>
      </c>
      <c r="Z14">
        <v>91411</v>
      </c>
      <c r="AA14">
        <v>91411</v>
      </c>
      <c r="AB14">
        <v>8162</v>
      </c>
      <c r="AC14">
        <v>36565</v>
      </c>
      <c r="AD14">
        <v>36565</v>
      </c>
      <c r="AE14">
        <v>3265</v>
      </c>
      <c r="AF14">
        <v>10055</v>
      </c>
      <c r="AG14">
        <v>10055</v>
      </c>
      <c r="AH14">
        <v>898</v>
      </c>
      <c r="AI14">
        <v>0</v>
      </c>
      <c r="AJ14">
        <v>0</v>
      </c>
      <c r="AK14">
        <v>0</v>
      </c>
      <c r="AL14">
        <v>10000</v>
      </c>
      <c r="AM14">
        <v>10000</v>
      </c>
      <c r="AN14">
        <v>0</v>
      </c>
      <c r="AO14">
        <v>0</v>
      </c>
      <c r="AP14">
        <v>0</v>
      </c>
      <c r="AQ14">
        <v>0</v>
      </c>
      <c r="AR14">
        <v>69529</v>
      </c>
      <c r="AS14">
        <v>69529</v>
      </c>
      <c r="AT14">
        <v>7102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236987</v>
      </c>
      <c r="BI14">
        <v>236987</v>
      </c>
      <c r="BJ14">
        <v>0</v>
      </c>
      <c r="BK14">
        <v>0</v>
      </c>
      <c r="BL14">
        <v>29950</v>
      </c>
      <c r="BM14">
        <v>200</v>
      </c>
      <c r="BN14">
        <v>0</v>
      </c>
      <c r="BO14">
        <v>0</v>
      </c>
      <c r="BP14">
        <v>10969</v>
      </c>
      <c r="BQ14">
        <v>979</v>
      </c>
      <c r="BR14">
        <v>10969</v>
      </c>
      <c r="BS14">
        <v>979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42098</v>
      </c>
      <c r="CZ14">
        <v>194889</v>
      </c>
      <c r="DA14" t="s">
        <v>118</v>
      </c>
      <c r="DB14" t="s">
        <v>118</v>
      </c>
      <c r="DC14">
        <v>194889</v>
      </c>
      <c r="DE14">
        <v>161375</v>
      </c>
      <c r="DF14">
        <f t="shared" si="0"/>
        <v>33514</v>
      </c>
      <c r="DG14" t="s">
        <v>204</v>
      </c>
    </row>
    <row r="15" spans="1:111">
      <c r="A15" t="s">
        <v>226</v>
      </c>
      <c r="B15" t="s">
        <v>227</v>
      </c>
      <c r="C15" t="s">
        <v>111</v>
      </c>
      <c r="D15" t="s">
        <v>228</v>
      </c>
      <c r="E15" t="s">
        <v>113</v>
      </c>
      <c r="F15" t="s">
        <v>114</v>
      </c>
      <c r="G15" t="s">
        <v>115</v>
      </c>
      <c r="H15" t="s">
        <v>113</v>
      </c>
      <c r="I15" t="s">
        <v>116</v>
      </c>
      <c r="J15" t="s">
        <v>117</v>
      </c>
      <c r="K15" t="s">
        <v>118</v>
      </c>
      <c r="L15" t="s">
        <v>118</v>
      </c>
      <c r="M15" t="s">
        <v>113</v>
      </c>
      <c r="N15" t="s">
        <v>199</v>
      </c>
      <c r="O15" t="s">
        <v>118</v>
      </c>
      <c r="P15" t="s">
        <v>117</v>
      </c>
      <c r="Q15" t="s">
        <v>117</v>
      </c>
      <c r="R15" t="s">
        <v>229</v>
      </c>
      <c r="S15" t="s">
        <v>120</v>
      </c>
      <c r="T15" t="s">
        <v>121</v>
      </c>
      <c r="U15" t="s">
        <v>122</v>
      </c>
      <c r="V15" t="s">
        <v>230</v>
      </c>
      <c r="W15" t="s">
        <v>135</v>
      </c>
      <c r="X15" t="s">
        <v>231</v>
      </c>
      <c r="Y15" t="s">
        <v>232</v>
      </c>
      <c r="Z15">
        <v>32338</v>
      </c>
      <c r="AA15">
        <v>32338</v>
      </c>
      <c r="AB15">
        <v>2888</v>
      </c>
      <c r="AC15">
        <v>12935</v>
      </c>
      <c r="AD15">
        <v>12935</v>
      </c>
      <c r="AE15">
        <v>1155</v>
      </c>
      <c r="AF15">
        <v>3557</v>
      </c>
      <c r="AG15">
        <v>3557</v>
      </c>
      <c r="AH15">
        <v>318</v>
      </c>
      <c r="AI15">
        <v>0</v>
      </c>
      <c r="AJ15">
        <v>0</v>
      </c>
      <c r="AK15">
        <v>0</v>
      </c>
      <c r="AL15">
        <v>8084</v>
      </c>
      <c r="AM15">
        <v>8084</v>
      </c>
      <c r="AN15">
        <v>-1597</v>
      </c>
      <c r="AO15">
        <v>0</v>
      </c>
      <c r="AP15">
        <v>0</v>
      </c>
      <c r="AQ15">
        <v>0</v>
      </c>
      <c r="AR15">
        <v>22130</v>
      </c>
      <c r="AS15">
        <v>22130</v>
      </c>
      <c r="AT15">
        <v>4455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86263</v>
      </c>
      <c r="BI15">
        <v>86263</v>
      </c>
      <c r="BJ15">
        <v>0</v>
      </c>
      <c r="BK15">
        <v>0</v>
      </c>
      <c r="BL15">
        <v>0</v>
      </c>
      <c r="BM15">
        <v>200</v>
      </c>
      <c r="BN15">
        <v>0</v>
      </c>
      <c r="BO15">
        <v>0</v>
      </c>
      <c r="BP15">
        <v>1800</v>
      </c>
      <c r="BQ15">
        <v>0</v>
      </c>
      <c r="BR15">
        <v>1800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2000</v>
      </c>
      <c r="CZ15">
        <v>84263</v>
      </c>
      <c r="DA15" t="s">
        <v>118</v>
      </c>
      <c r="DB15" t="s">
        <v>118</v>
      </c>
      <c r="DC15">
        <v>84263</v>
      </c>
      <c r="DE15">
        <v>68382</v>
      </c>
      <c r="DF15">
        <f t="shared" si="0"/>
        <v>15881</v>
      </c>
      <c r="DG15" t="s">
        <v>204</v>
      </c>
    </row>
    <row r="16" spans="1:111">
      <c r="A16" t="s">
        <v>233</v>
      </c>
      <c r="B16" t="s">
        <v>234</v>
      </c>
      <c r="C16" t="s">
        <v>158</v>
      </c>
      <c r="D16" t="s">
        <v>235</v>
      </c>
      <c r="E16" t="s">
        <v>113</v>
      </c>
      <c r="F16" t="s">
        <v>114</v>
      </c>
      <c r="G16" t="s">
        <v>115</v>
      </c>
      <c r="H16" t="s">
        <v>113</v>
      </c>
      <c r="I16" t="s">
        <v>116</v>
      </c>
      <c r="J16" t="s">
        <v>117</v>
      </c>
      <c r="K16" t="s">
        <v>118</v>
      </c>
      <c r="L16" t="s">
        <v>118</v>
      </c>
      <c r="M16" t="s">
        <v>113</v>
      </c>
      <c r="N16" t="s">
        <v>199</v>
      </c>
      <c r="O16" t="s">
        <v>118</v>
      </c>
      <c r="P16" t="s">
        <v>117</v>
      </c>
      <c r="Q16" t="s">
        <v>117</v>
      </c>
      <c r="R16" t="s">
        <v>236</v>
      </c>
      <c r="S16" t="s">
        <v>169</v>
      </c>
      <c r="T16" t="s">
        <v>121</v>
      </c>
      <c r="U16" t="s">
        <v>122</v>
      </c>
      <c r="V16" t="s">
        <v>237</v>
      </c>
      <c r="W16" t="s">
        <v>135</v>
      </c>
      <c r="X16" t="s">
        <v>238</v>
      </c>
      <c r="Y16" t="s">
        <v>239</v>
      </c>
      <c r="Z16">
        <v>20836</v>
      </c>
      <c r="AA16">
        <v>20836</v>
      </c>
      <c r="AB16">
        <v>1286</v>
      </c>
      <c r="AC16">
        <v>8335</v>
      </c>
      <c r="AD16">
        <v>8335</v>
      </c>
      <c r="AE16">
        <v>515</v>
      </c>
      <c r="AF16">
        <v>2292</v>
      </c>
      <c r="AG16">
        <v>2292</v>
      </c>
      <c r="AH16">
        <v>142</v>
      </c>
      <c r="AI16">
        <v>0</v>
      </c>
      <c r="AJ16">
        <v>0</v>
      </c>
      <c r="AK16">
        <v>0</v>
      </c>
      <c r="AL16">
        <v>5209</v>
      </c>
      <c r="AM16">
        <v>5209</v>
      </c>
      <c r="AN16">
        <v>322</v>
      </c>
      <c r="AO16">
        <v>0</v>
      </c>
      <c r="AP16">
        <v>0</v>
      </c>
      <c r="AQ16">
        <v>0</v>
      </c>
      <c r="AR16">
        <v>13618</v>
      </c>
      <c r="AS16">
        <v>13618</v>
      </c>
      <c r="AT16">
        <v>951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53506</v>
      </c>
      <c r="BI16">
        <v>53506</v>
      </c>
      <c r="BJ16">
        <v>0</v>
      </c>
      <c r="BK16">
        <v>0</v>
      </c>
      <c r="BL16">
        <v>0</v>
      </c>
      <c r="BM16">
        <v>200</v>
      </c>
      <c r="BN16">
        <v>0</v>
      </c>
      <c r="BO16">
        <v>0</v>
      </c>
      <c r="BP16">
        <v>1800</v>
      </c>
      <c r="BQ16">
        <v>0</v>
      </c>
      <c r="BR16">
        <v>1800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2000</v>
      </c>
      <c r="CZ16">
        <v>51506</v>
      </c>
      <c r="DA16" t="s">
        <v>118</v>
      </c>
      <c r="DB16" t="s">
        <v>118</v>
      </c>
      <c r="DC16">
        <v>51506</v>
      </c>
      <c r="DE16">
        <v>44432</v>
      </c>
      <c r="DF16">
        <f t="shared" si="0"/>
        <v>7074</v>
      </c>
      <c r="DG16" t="s">
        <v>204</v>
      </c>
    </row>
    <row r="17" spans="1:111">
      <c r="A17" t="s">
        <v>240</v>
      </c>
      <c r="B17" t="s">
        <v>241</v>
      </c>
      <c r="C17" t="s">
        <v>242</v>
      </c>
      <c r="D17" t="s">
        <v>243</v>
      </c>
      <c r="E17" t="s">
        <v>113</v>
      </c>
      <c r="F17" t="s">
        <v>114</v>
      </c>
      <c r="G17" t="s">
        <v>115</v>
      </c>
      <c r="H17" t="s">
        <v>113</v>
      </c>
      <c r="I17" t="s">
        <v>116</v>
      </c>
      <c r="J17" t="s">
        <v>117</v>
      </c>
      <c r="K17" t="s">
        <v>118</v>
      </c>
      <c r="L17" t="s">
        <v>118</v>
      </c>
      <c r="M17" t="s">
        <v>113</v>
      </c>
      <c r="N17" t="s">
        <v>118</v>
      </c>
      <c r="O17" t="s">
        <v>118</v>
      </c>
      <c r="P17" t="s">
        <v>117</v>
      </c>
      <c r="Q17" t="s">
        <v>117</v>
      </c>
      <c r="R17" t="s">
        <v>244</v>
      </c>
      <c r="S17" t="s">
        <v>245</v>
      </c>
      <c r="T17" t="s">
        <v>121</v>
      </c>
      <c r="U17" t="s">
        <v>122</v>
      </c>
      <c r="V17" t="s">
        <v>246</v>
      </c>
      <c r="W17" t="s">
        <v>135</v>
      </c>
      <c r="X17" t="s">
        <v>247</v>
      </c>
      <c r="Y17" t="s">
        <v>248</v>
      </c>
      <c r="Z17">
        <v>87186</v>
      </c>
      <c r="AA17">
        <v>87186</v>
      </c>
      <c r="AB17">
        <v>0</v>
      </c>
      <c r="AC17">
        <v>34874</v>
      </c>
      <c r="AD17">
        <v>34874</v>
      </c>
      <c r="AE17">
        <v>0</v>
      </c>
      <c r="AF17">
        <v>9591</v>
      </c>
      <c r="AG17">
        <v>9591</v>
      </c>
      <c r="AH17">
        <v>0</v>
      </c>
      <c r="AI17">
        <v>0</v>
      </c>
      <c r="AJ17">
        <v>0</v>
      </c>
      <c r="AK17">
        <v>0</v>
      </c>
      <c r="AL17">
        <v>10000</v>
      </c>
      <c r="AM17">
        <v>10000</v>
      </c>
      <c r="AN17">
        <v>0</v>
      </c>
      <c r="AO17">
        <v>2200</v>
      </c>
      <c r="AP17">
        <v>2200</v>
      </c>
      <c r="AQ17">
        <v>0</v>
      </c>
      <c r="AR17">
        <v>72314</v>
      </c>
      <c r="AS17">
        <v>72314</v>
      </c>
      <c r="AT17">
        <v>0</v>
      </c>
      <c r="AU17">
        <v>0</v>
      </c>
      <c r="AV17">
        <v>0</v>
      </c>
      <c r="AW17">
        <v>22000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22000</v>
      </c>
      <c r="BH17">
        <v>238165</v>
      </c>
      <c r="BI17">
        <v>238165</v>
      </c>
      <c r="BJ17">
        <v>2200</v>
      </c>
      <c r="BK17">
        <v>0</v>
      </c>
      <c r="BL17">
        <v>34401</v>
      </c>
      <c r="BM17">
        <v>200</v>
      </c>
      <c r="BN17">
        <v>0</v>
      </c>
      <c r="BO17">
        <v>0</v>
      </c>
      <c r="BP17">
        <v>1800</v>
      </c>
      <c r="BQ17">
        <v>0</v>
      </c>
      <c r="BR17">
        <v>1800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38601</v>
      </c>
      <c r="CZ17">
        <v>199564</v>
      </c>
      <c r="DA17" t="s">
        <v>118</v>
      </c>
      <c r="DB17" t="s">
        <v>118</v>
      </c>
      <c r="DC17">
        <v>199564</v>
      </c>
      <c r="DE17">
        <v>192937</v>
      </c>
      <c r="DF17">
        <f t="shared" si="0"/>
        <v>6627</v>
      </c>
      <c r="DG17" t="s">
        <v>249</v>
      </c>
    </row>
    <row r="18" spans="1:111">
      <c r="A18" t="s">
        <v>250</v>
      </c>
      <c r="B18" t="s">
        <v>251</v>
      </c>
      <c r="C18" t="s">
        <v>111</v>
      </c>
      <c r="D18" t="s">
        <v>252</v>
      </c>
      <c r="E18" t="s">
        <v>113</v>
      </c>
      <c r="F18" t="s">
        <v>114</v>
      </c>
      <c r="G18" t="s">
        <v>115</v>
      </c>
      <c r="H18" t="s">
        <v>113</v>
      </c>
      <c r="I18" t="s">
        <v>116</v>
      </c>
      <c r="J18" t="s">
        <v>117</v>
      </c>
      <c r="K18" t="s">
        <v>118</v>
      </c>
      <c r="L18" t="s">
        <v>118</v>
      </c>
      <c r="M18" t="s">
        <v>113</v>
      </c>
      <c r="N18" t="s">
        <v>118</v>
      </c>
      <c r="O18" t="s">
        <v>118</v>
      </c>
      <c r="P18" t="s">
        <v>117</v>
      </c>
      <c r="Q18" t="s">
        <v>117</v>
      </c>
      <c r="R18" t="s">
        <v>229</v>
      </c>
      <c r="S18" t="s">
        <v>120</v>
      </c>
      <c r="T18" t="s">
        <v>121</v>
      </c>
      <c r="U18" t="s">
        <v>122</v>
      </c>
      <c r="V18" t="s">
        <v>253</v>
      </c>
      <c r="W18" t="s">
        <v>124</v>
      </c>
      <c r="X18" t="s">
        <v>254</v>
      </c>
      <c r="Y18" t="s">
        <v>255</v>
      </c>
      <c r="Z18">
        <v>24627</v>
      </c>
      <c r="AA18">
        <v>24627</v>
      </c>
      <c r="AB18">
        <v>0</v>
      </c>
      <c r="AC18">
        <v>9851</v>
      </c>
      <c r="AD18">
        <v>9851</v>
      </c>
      <c r="AE18">
        <v>0</v>
      </c>
      <c r="AF18">
        <v>2709</v>
      </c>
      <c r="AG18">
        <v>2709</v>
      </c>
      <c r="AH18">
        <v>0</v>
      </c>
      <c r="AI18">
        <v>0</v>
      </c>
      <c r="AJ18">
        <v>0</v>
      </c>
      <c r="AK18">
        <v>0</v>
      </c>
      <c r="AL18">
        <v>6157</v>
      </c>
      <c r="AM18">
        <v>6157</v>
      </c>
      <c r="AN18">
        <v>0</v>
      </c>
      <c r="AO18">
        <v>0</v>
      </c>
      <c r="AP18">
        <v>0</v>
      </c>
      <c r="AQ18">
        <v>0</v>
      </c>
      <c r="AR18">
        <v>16423</v>
      </c>
      <c r="AS18">
        <v>16423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59767</v>
      </c>
      <c r="BI18">
        <v>59767</v>
      </c>
      <c r="BJ18">
        <v>0</v>
      </c>
      <c r="BK18">
        <v>0</v>
      </c>
      <c r="BL18">
        <v>0</v>
      </c>
      <c r="BM18">
        <v>200</v>
      </c>
      <c r="BN18">
        <v>0</v>
      </c>
      <c r="BO18">
        <v>0</v>
      </c>
      <c r="BP18">
        <v>1800</v>
      </c>
      <c r="BQ18">
        <v>0</v>
      </c>
      <c r="BR18">
        <v>1800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2000</v>
      </c>
      <c r="CZ18">
        <v>57767</v>
      </c>
      <c r="DA18" t="s">
        <v>118</v>
      </c>
      <c r="DB18" t="s">
        <v>118</v>
      </c>
      <c r="DC18">
        <v>57767</v>
      </c>
      <c r="DE18">
        <v>57767</v>
      </c>
      <c r="DF18">
        <f t="shared" si="0"/>
        <v>0</v>
      </c>
    </row>
    <row r="19" spans="1:111">
      <c r="A19" t="s">
        <v>256</v>
      </c>
      <c r="B19" t="s">
        <v>257</v>
      </c>
      <c r="C19" t="s">
        <v>182</v>
      </c>
      <c r="D19" t="s">
        <v>258</v>
      </c>
      <c r="E19" t="s">
        <v>113</v>
      </c>
      <c r="F19" t="s">
        <v>114</v>
      </c>
      <c r="G19" t="s">
        <v>115</v>
      </c>
      <c r="H19" t="s">
        <v>113</v>
      </c>
      <c r="I19" t="s">
        <v>116</v>
      </c>
      <c r="J19" t="s">
        <v>117</v>
      </c>
      <c r="K19" t="s">
        <v>118</v>
      </c>
      <c r="L19" t="s">
        <v>118</v>
      </c>
      <c r="M19" t="s">
        <v>113</v>
      </c>
      <c r="N19" t="s">
        <v>118</v>
      </c>
      <c r="O19" t="s">
        <v>118</v>
      </c>
      <c r="P19" t="s">
        <v>117</v>
      </c>
      <c r="Q19" t="s">
        <v>117</v>
      </c>
      <c r="R19" t="s">
        <v>259</v>
      </c>
      <c r="S19" t="s">
        <v>169</v>
      </c>
      <c r="T19" t="s">
        <v>121</v>
      </c>
      <c r="U19" t="s">
        <v>122</v>
      </c>
      <c r="V19" t="s">
        <v>260</v>
      </c>
      <c r="W19" t="s">
        <v>135</v>
      </c>
      <c r="X19" t="s">
        <v>261</v>
      </c>
      <c r="Y19" t="s">
        <v>262</v>
      </c>
      <c r="Z19">
        <v>125974</v>
      </c>
      <c r="AA19">
        <v>125974</v>
      </c>
      <c r="AB19">
        <v>0</v>
      </c>
      <c r="AC19">
        <v>50390</v>
      </c>
      <c r="AD19">
        <v>50390</v>
      </c>
      <c r="AE19">
        <v>0</v>
      </c>
      <c r="AF19">
        <v>13857</v>
      </c>
      <c r="AG19">
        <v>13857</v>
      </c>
      <c r="AH19">
        <v>0</v>
      </c>
      <c r="AI19">
        <v>0</v>
      </c>
      <c r="AJ19">
        <v>0</v>
      </c>
      <c r="AK19">
        <v>0</v>
      </c>
      <c r="AL19">
        <v>10000</v>
      </c>
      <c r="AM19">
        <v>10000</v>
      </c>
      <c r="AN19">
        <v>0</v>
      </c>
      <c r="AO19">
        <v>0</v>
      </c>
      <c r="AP19">
        <v>0</v>
      </c>
      <c r="AQ19">
        <v>0</v>
      </c>
      <c r="AR19">
        <v>112914</v>
      </c>
      <c r="AS19">
        <v>112914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313135</v>
      </c>
      <c r="BI19">
        <v>313135</v>
      </c>
      <c r="BJ19">
        <v>0</v>
      </c>
      <c r="BK19">
        <v>0</v>
      </c>
      <c r="BL19">
        <v>59348</v>
      </c>
      <c r="BM19">
        <v>200</v>
      </c>
      <c r="BN19">
        <v>0</v>
      </c>
      <c r="BO19">
        <v>0</v>
      </c>
      <c r="BP19">
        <v>1800</v>
      </c>
      <c r="BQ19">
        <v>0</v>
      </c>
      <c r="BR19">
        <v>1800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61348</v>
      </c>
      <c r="CZ19">
        <v>251787</v>
      </c>
      <c r="DA19" t="s">
        <v>118</v>
      </c>
      <c r="DB19" t="s">
        <v>118</v>
      </c>
      <c r="DC19">
        <v>251787</v>
      </c>
      <c r="DE19">
        <v>251787</v>
      </c>
      <c r="DF19">
        <f t="shared" si="0"/>
        <v>0</v>
      </c>
    </row>
    <row r="20" spans="1:111">
      <c r="A20" t="s">
        <v>263</v>
      </c>
      <c r="B20" t="s">
        <v>264</v>
      </c>
      <c r="C20" t="s">
        <v>158</v>
      </c>
      <c r="D20" t="s">
        <v>265</v>
      </c>
      <c r="E20" t="s">
        <v>113</v>
      </c>
      <c r="F20" t="s">
        <v>114</v>
      </c>
      <c r="G20" t="s">
        <v>115</v>
      </c>
      <c r="H20" t="s">
        <v>113</v>
      </c>
      <c r="I20" t="s">
        <v>116</v>
      </c>
      <c r="J20" t="s">
        <v>117</v>
      </c>
      <c r="K20" t="s">
        <v>118</v>
      </c>
      <c r="L20" t="s">
        <v>118</v>
      </c>
      <c r="M20" t="s">
        <v>113</v>
      </c>
      <c r="N20" t="s">
        <v>199</v>
      </c>
      <c r="O20" t="s">
        <v>118</v>
      </c>
      <c r="P20" t="s">
        <v>117</v>
      </c>
      <c r="Q20" t="s">
        <v>117</v>
      </c>
      <c r="R20" t="s">
        <v>191</v>
      </c>
      <c r="S20" t="s">
        <v>192</v>
      </c>
      <c r="T20" t="s">
        <v>121</v>
      </c>
      <c r="U20" t="s">
        <v>122</v>
      </c>
      <c r="V20" t="s">
        <v>266</v>
      </c>
      <c r="W20" t="s">
        <v>135</v>
      </c>
      <c r="X20" t="s">
        <v>267</v>
      </c>
      <c r="Y20" t="s">
        <v>268</v>
      </c>
      <c r="Z20">
        <v>49176</v>
      </c>
      <c r="AA20">
        <v>49176</v>
      </c>
      <c r="AB20">
        <v>5345</v>
      </c>
      <c r="AC20">
        <v>19671</v>
      </c>
      <c r="AD20">
        <v>19671</v>
      </c>
      <c r="AE20">
        <v>2138</v>
      </c>
      <c r="AF20">
        <v>5409</v>
      </c>
      <c r="AG20">
        <v>5409</v>
      </c>
      <c r="AH20">
        <v>588</v>
      </c>
      <c r="AI20">
        <v>0</v>
      </c>
      <c r="AJ20">
        <v>0</v>
      </c>
      <c r="AK20">
        <v>0</v>
      </c>
      <c r="AL20">
        <v>10000</v>
      </c>
      <c r="AM20">
        <v>10000</v>
      </c>
      <c r="AN20">
        <v>0</v>
      </c>
      <c r="AO20">
        <v>0</v>
      </c>
      <c r="AP20">
        <v>0</v>
      </c>
      <c r="AQ20">
        <v>0</v>
      </c>
      <c r="AR20">
        <v>32784</v>
      </c>
      <c r="AS20">
        <v>32784</v>
      </c>
      <c r="AT20">
        <v>4651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129762</v>
      </c>
      <c r="BI20">
        <v>129762</v>
      </c>
      <c r="BJ20">
        <v>0</v>
      </c>
      <c r="BK20">
        <v>0</v>
      </c>
      <c r="BL20">
        <v>7351</v>
      </c>
      <c r="BM20">
        <v>200</v>
      </c>
      <c r="BN20">
        <v>0</v>
      </c>
      <c r="BO20">
        <v>0</v>
      </c>
      <c r="BP20">
        <v>5901</v>
      </c>
      <c r="BQ20">
        <v>642</v>
      </c>
      <c r="BR20">
        <v>5901</v>
      </c>
      <c r="BS20">
        <v>642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14094</v>
      </c>
      <c r="CZ20">
        <v>115668</v>
      </c>
      <c r="DA20" t="s">
        <v>118</v>
      </c>
      <c r="DB20" t="s">
        <v>118</v>
      </c>
      <c r="DC20">
        <v>115668</v>
      </c>
      <c r="DE20">
        <v>96443</v>
      </c>
      <c r="DF20">
        <f t="shared" si="0"/>
        <v>19225</v>
      </c>
      <c r="DG20" t="s">
        <v>204</v>
      </c>
    </row>
    <row r="21" spans="1:111">
      <c r="A21" t="s">
        <v>269</v>
      </c>
      <c r="B21" t="s">
        <v>270</v>
      </c>
      <c r="C21" t="s">
        <v>182</v>
      </c>
      <c r="D21" t="s">
        <v>271</v>
      </c>
      <c r="E21" t="s">
        <v>113</v>
      </c>
      <c r="F21" t="s">
        <v>114</v>
      </c>
      <c r="G21" t="s">
        <v>115</v>
      </c>
      <c r="H21" t="s">
        <v>113</v>
      </c>
      <c r="I21" t="s">
        <v>116</v>
      </c>
      <c r="J21" t="s">
        <v>117</v>
      </c>
      <c r="K21" t="s">
        <v>118</v>
      </c>
      <c r="L21" t="s">
        <v>118</v>
      </c>
      <c r="M21" t="s">
        <v>113</v>
      </c>
      <c r="N21" t="s">
        <v>118</v>
      </c>
      <c r="O21" t="s">
        <v>118</v>
      </c>
      <c r="P21" t="s">
        <v>117</v>
      </c>
      <c r="Q21" t="s">
        <v>117</v>
      </c>
      <c r="R21" t="s">
        <v>272</v>
      </c>
      <c r="S21" t="s">
        <v>169</v>
      </c>
      <c r="T21" t="s">
        <v>121</v>
      </c>
      <c r="U21" t="s">
        <v>122</v>
      </c>
      <c r="V21" t="s">
        <v>273</v>
      </c>
      <c r="W21" t="s">
        <v>135</v>
      </c>
      <c r="X21" t="s">
        <v>274</v>
      </c>
      <c r="Y21" t="s">
        <v>275</v>
      </c>
      <c r="Z21">
        <v>127764</v>
      </c>
      <c r="AA21">
        <v>127764</v>
      </c>
      <c r="AB21">
        <v>0</v>
      </c>
      <c r="AC21">
        <v>51105</v>
      </c>
      <c r="AD21">
        <v>51105</v>
      </c>
      <c r="AE21">
        <v>0</v>
      </c>
      <c r="AF21">
        <v>14054</v>
      </c>
      <c r="AG21">
        <v>14054</v>
      </c>
      <c r="AH21">
        <v>0</v>
      </c>
      <c r="AI21">
        <v>0</v>
      </c>
      <c r="AJ21">
        <v>0</v>
      </c>
      <c r="AK21">
        <v>0</v>
      </c>
      <c r="AL21">
        <v>10000</v>
      </c>
      <c r="AM21">
        <v>10000</v>
      </c>
      <c r="AN21">
        <v>0</v>
      </c>
      <c r="AO21">
        <v>2200</v>
      </c>
      <c r="AP21">
        <v>2200</v>
      </c>
      <c r="AQ21">
        <v>0</v>
      </c>
      <c r="AR21">
        <v>98954</v>
      </c>
      <c r="AS21">
        <v>98954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304077</v>
      </c>
      <c r="BI21">
        <v>304077</v>
      </c>
      <c r="BJ21">
        <v>2200</v>
      </c>
      <c r="BK21">
        <v>0</v>
      </c>
      <c r="BL21">
        <v>56522</v>
      </c>
      <c r="BM21">
        <v>200</v>
      </c>
      <c r="BN21">
        <v>0</v>
      </c>
      <c r="BO21">
        <v>0</v>
      </c>
      <c r="BP21">
        <v>15332</v>
      </c>
      <c r="BQ21">
        <v>0</v>
      </c>
      <c r="BR21">
        <v>15332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74254</v>
      </c>
      <c r="CZ21">
        <v>229823</v>
      </c>
      <c r="DA21" t="s">
        <v>118</v>
      </c>
      <c r="DB21" t="s">
        <v>118</v>
      </c>
      <c r="DC21">
        <v>229823</v>
      </c>
      <c r="DE21">
        <v>229823</v>
      </c>
      <c r="DF21">
        <f t="shared" si="0"/>
        <v>0</v>
      </c>
    </row>
    <row r="22" spans="1:111">
      <c r="A22" t="s">
        <v>276</v>
      </c>
      <c r="B22" t="s">
        <v>277</v>
      </c>
      <c r="C22" t="s">
        <v>182</v>
      </c>
      <c r="D22" t="s">
        <v>278</v>
      </c>
      <c r="E22" t="s">
        <v>113</v>
      </c>
      <c r="F22" t="s">
        <v>114</v>
      </c>
      <c r="G22" t="s">
        <v>115</v>
      </c>
      <c r="H22" t="s">
        <v>113</v>
      </c>
      <c r="I22" t="s">
        <v>116</v>
      </c>
      <c r="J22" t="s">
        <v>117</v>
      </c>
      <c r="K22" t="s">
        <v>118</v>
      </c>
      <c r="L22" t="s">
        <v>118</v>
      </c>
      <c r="M22" t="s">
        <v>113</v>
      </c>
      <c r="N22" t="s">
        <v>118</v>
      </c>
      <c r="O22" t="s">
        <v>118</v>
      </c>
      <c r="P22" t="s">
        <v>117</v>
      </c>
      <c r="Q22" t="s">
        <v>117</v>
      </c>
      <c r="R22" t="s">
        <v>279</v>
      </c>
      <c r="S22" t="s">
        <v>169</v>
      </c>
      <c r="T22" t="s">
        <v>121</v>
      </c>
      <c r="U22" t="s">
        <v>122</v>
      </c>
      <c r="V22" t="s">
        <v>280</v>
      </c>
      <c r="W22" t="s">
        <v>124</v>
      </c>
      <c r="X22" t="s">
        <v>281</v>
      </c>
      <c r="Y22" t="s">
        <v>282</v>
      </c>
      <c r="Z22">
        <v>33341</v>
      </c>
      <c r="AA22">
        <v>33341</v>
      </c>
      <c r="AB22">
        <v>0</v>
      </c>
      <c r="AC22">
        <v>13336</v>
      </c>
      <c r="AD22">
        <v>13336</v>
      </c>
      <c r="AE22">
        <v>0</v>
      </c>
      <c r="AF22">
        <v>3667</v>
      </c>
      <c r="AG22">
        <v>3667</v>
      </c>
      <c r="AH22">
        <v>0</v>
      </c>
      <c r="AI22">
        <v>0</v>
      </c>
      <c r="AJ22">
        <v>0</v>
      </c>
      <c r="AK22">
        <v>0</v>
      </c>
      <c r="AL22">
        <v>8335</v>
      </c>
      <c r="AM22">
        <v>8335</v>
      </c>
      <c r="AN22">
        <v>0</v>
      </c>
      <c r="AO22">
        <v>0</v>
      </c>
      <c r="AP22">
        <v>0</v>
      </c>
      <c r="AQ22">
        <v>0</v>
      </c>
      <c r="AR22">
        <v>20671</v>
      </c>
      <c r="AS22">
        <v>20671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79350</v>
      </c>
      <c r="BI22">
        <v>79350</v>
      </c>
      <c r="BJ22">
        <v>0</v>
      </c>
      <c r="BK22">
        <v>0</v>
      </c>
      <c r="BL22">
        <v>0</v>
      </c>
      <c r="BM22">
        <v>200</v>
      </c>
      <c r="BN22">
        <v>0</v>
      </c>
      <c r="BO22">
        <v>0</v>
      </c>
      <c r="BP22">
        <v>4001</v>
      </c>
      <c r="BQ22">
        <v>0</v>
      </c>
      <c r="BR22">
        <v>4001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4201</v>
      </c>
      <c r="CZ22">
        <v>75149</v>
      </c>
      <c r="DA22" t="s">
        <v>118</v>
      </c>
      <c r="DB22" t="s">
        <v>118</v>
      </c>
      <c r="DC22">
        <v>75149</v>
      </c>
      <c r="DE22">
        <v>75149</v>
      </c>
      <c r="DF22">
        <f t="shared" si="0"/>
        <v>0</v>
      </c>
    </row>
    <row r="23" spans="1:111">
      <c r="A23" t="s">
        <v>283</v>
      </c>
      <c r="B23" t="s">
        <v>284</v>
      </c>
      <c r="C23" t="s">
        <v>158</v>
      </c>
      <c r="D23" t="s">
        <v>278</v>
      </c>
      <c r="E23" t="s">
        <v>113</v>
      </c>
      <c r="F23" t="s">
        <v>114</v>
      </c>
      <c r="G23" t="s">
        <v>115</v>
      </c>
      <c r="H23" t="s">
        <v>113</v>
      </c>
      <c r="I23" t="s">
        <v>116</v>
      </c>
      <c r="J23" t="s">
        <v>117</v>
      </c>
      <c r="K23" t="s">
        <v>118</v>
      </c>
      <c r="L23" t="s">
        <v>118</v>
      </c>
      <c r="M23" t="s">
        <v>113</v>
      </c>
      <c r="N23" t="s">
        <v>118</v>
      </c>
      <c r="O23" t="s">
        <v>118</v>
      </c>
      <c r="P23" t="s">
        <v>117</v>
      </c>
      <c r="Q23" t="s">
        <v>117</v>
      </c>
      <c r="R23" t="s">
        <v>285</v>
      </c>
      <c r="S23" t="s">
        <v>169</v>
      </c>
      <c r="T23" t="s">
        <v>121</v>
      </c>
      <c r="U23" t="s">
        <v>122</v>
      </c>
      <c r="V23" t="s">
        <v>286</v>
      </c>
      <c r="W23" t="s">
        <v>135</v>
      </c>
      <c r="X23" t="s">
        <v>287</v>
      </c>
      <c r="Y23" t="s">
        <v>288</v>
      </c>
      <c r="Z23">
        <v>38017</v>
      </c>
      <c r="AA23">
        <v>38017</v>
      </c>
      <c r="AB23">
        <v>0</v>
      </c>
      <c r="AC23">
        <v>15207</v>
      </c>
      <c r="AD23">
        <v>15207</v>
      </c>
      <c r="AE23">
        <v>0</v>
      </c>
      <c r="AF23">
        <v>4182</v>
      </c>
      <c r="AG23">
        <v>4182</v>
      </c>
      <c r="AH23">
        <v>0</v>
      </c>
      <c r="AI23">
        <v>0</v>
      </c>
      <c r="AJ23">
        <v>0</v>
      </c>
      <c r="AK23">
        <v>0</v>
      </c>
      <c r="AL23">
        <v>9504</v>
      </c>
      <c r="AM23">
        <v>9504</v>
      </c>
      <c r="AN23">
        <v>0</v>
      </c>
      <c r="AO23">
        <v>0</v>
      </c>
      <c r="AP23">
        <v>0</v>
      </c>
      <c r="AQ23">
        <v>0</v>
      </c>
      <c r="AR23">
        <v>23570</v>
      </c>
      <c r="AS23">
        <v>23570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90480</v>
      </c>
      <c r="BI23">
        <v>90480</v>
      </c>
      <c r="BJ23">
        <v>0</v>
      </c>
      <c r="BK23">
        <v>0</v>
      </c>
      <c r="BL23">
        <v>0</v>
      </c>
      <c r="BM23">
        <v>200</v>
      </c>
      <c r="BN23">
        <v>0</v>
      </c>
      <c r="BO23">
        <v>0</v>
      </c>
      <c r="BP23">
        <v>4562</v>
      </c>
      <c r="BQ23">
        <v>0</v>
      </c>
      <c r="BR23">
        <v>4562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4762</v>
      </c>
      <c r="CZ23">
        <v>85718</v>
      </c>
      <c r="DA23" t="s">
        <v>118</v>
      </c>
      <c r="DB23" t="s">
        <v>118</v>
      </c>
      <c r="DC23">
        <v>85718</v>
      </c>
      <c r="DE23">
        <v>85718</v>
      </c>
      <c r="DF23">
        <f t="shared" si="0"/>
        <v>0</v>
      </c>
    </row>
    <row r="24" spans="1:111">
      <c r="A24" t="s">
        <v>289</v>
      </c>
      <c r="B24" t="s">
        <v>290</v>
      </c>
      <c r="C24" t="s">
        <v>158</v>
      </c>
      <c r="D24" t="s">
        <v>278</v>
      </c>
      <c r="E24" t="s">
        <v>113</v>
      </c>
      <c r="F24" t="s">
        <v>114</v>
      </c>
      <c r="G24" t="s">
        <v>115</v>
      </c>
      <c r="H24" t="s">
        <v>113</v>
      </c>
      <c r="I24" t="s">
        <v>116</v>
      </c>
      <c r="J24" t="s">
        <v>117</v>
      </c>
      <c r="K24" t="s">
        <v>118</v>
      </c>
      <c r="L24" t="s">
        <v>118</v>
      </c>
      <c r="M24" t="s">
        <v>113</v>
      </c>
      <c r="N24" t="s">
        <v>118</v>
      </c>
      <c r="O24" t="s">
        <v>118</v>
      </c>
      <c r="P24" t="s">
        <v>117</v>
      </c>
      <c r="Q24" t="s">
        <v>117</v>
      </c>
      <c r="R24" t="s">
        <v>285</v>
      </c>
      <c r="S24" t="s">
        <v>169</v>
      </c>
      <c r="T24" t="s">
        <v>121</v>
      </c>
      <c r="U24" t="s">
        <v>122</v>
      </c>
      <c r="V24" t="s">
        <v>291</v>
      </c>
      <c r="W24" t="s">
        <v>135</v>
      </c>
      <c r="X24" t="s">
        <v>287</v>
      </c>
      <c r="Y24" t="s">
        <v>292</v>
      </c>
      <c r="Z24">
        <v>38017</v>
      </c>
      <c r="AA24">
        <v>38017</v>
      </c>
      <c r="AB24">
        <v>0</v>
      </c>
      <c r="AC24">
        <v>15207</v>
      </c>
      <c r="AD24">
        <v>15207</v>
      </c>
      <c r="AE24">
        <v>0</v>
      </c>
      <c r="AF24">
        <v>4182</v>
      </c>
      <c r="AG24">
        <v>4182</v>
      </c>
      <c r="AH24">
        <v>0</v>
      </c>
      <c r="AI24">
        <v>0</v>
      </c>
      <c r="AJ24">
        <v>0</v>
      </c>
      <c r="AK24">
        <v>0</v>
      </c>
      <c r="AL24">
        <v>9504</v>
      </c>
      <c r="AM24">
        <v>9504</v>
      </c>
      <c r="AN24">
        <v>0</v>
      </c>
      <c r="AO24">
        <v>0</v>
      </c>
      <c r="AP24">
        <v>0</v>
      </c>
      <c r="AQ24">
        <v>0</v>
      </c>
      <c r="AR24">
        <v>23570</v>
      </c>
      <c r="AS24">
        <v>23570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90480</v>
      </c>
      <c r="BI24">
        <v>90480</v>
      </c>
      <c r="BJ24">
        <v>0</v>
      </c>
      <c r="BK24">
        <v>0</v>
      </c>
      <c r="BL24">
        <v>0</v>
      </c>
      <c r="BM24">
        <v>200</v>
      </c>
      <c r="BN24">
        <v>0</v>
      </c>
      <c r="BO24">
        <v>0</v>
      </c>
      <c r="BP24">
        <v>4562</v>
      </c>
      <c r="BQ24">
        <v>0</v>
      </c>
      <c r="BR24">
        <v>4562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4762</v>
      </c>
      <c r="CZ24">
        <v>85718</v>
      </c>
      <c r="DA24" t="s">
        <v>118</v>
      </c>
      <c r="DB24" t="s">
        <v>118</v>
      </c>
      <c r="DC24">
        <v>85718</v>
      </c>
      <c r="DE24">
        <v>85718</v>
      </c>
      <c r="DF24">
        <f t="shared" si="0"/>
        <v>0</v>
      </c>
    </row>
    <row r="25" spans="1:111">
      <c r="A25" t="s">
        <v>293</v>
      </c>
      <c r="B25" t="s">
        <v>294</v>
      </c>
      <c r="C25" t="s">
        <v>182</v>
      </c>
      <c r="D25" t="s">
        <v>295</v>
      </c>
      <c r="E25" t="s">
        <v>113</v>
      </c>
      <c r="F25" t="s">
        <v>114</v>
      </c>
      <c r="G25" t="s">
        <v>115</v>
      </c>
      <c r="H25" t="s">
        <v>113</v>
      </c>
      <c r="I25" t="s">
        <v>116</v>
      </c>
      <c r="J25" t="s">
        <v>117</v>
      </c>
      <c r="K25" t="s">
        <v>118</v>
      </c>
      <c r="L25" t="s">
        <v>118</v>
      </c>
      <c r="M25" t="s">
        <v>113</v>
      </c>
      <c r="N25" t="s">
        <v>118</v>
      </c>
      <c r="O25" t="s">
        <v>118</v>
      </c>
      <c r="P25" t="s">
        <v>117</v>
      </c>
      <c r="Q25" t="s">
        <v>117</v>
      </c>
      <c r="R25" t="s">
        <v>296</v>
      </c>
      <c r="S25" t="s">
        <v>182</v>
      </c>
      <c r="T25" t="s">
        <v>121</v>
      </c>
      <c r="U25" t="s">
        <v>122</v>
      </c>
      <c r="V25" t="s">
        <v>297</v>
      </c>
      <c r="W25" t="s">
        <v>135</v>
      </c>
      <c r="X25" t="s">
        <v>298</v>
      </c>
      <c r="Y25" t="s">
        <v>299</v>
      </c>
      <c r="Z25">
        <v>90309</v>
      </c>
      <c r="AA25">
        <v>90309</v>
      </c>
      <c r="AB25">
        <v>0</v>
      </c>
      <c r="AC25">
        <v>36123</v>
      </c>
      <c r="AD25">
        <v>36123</v>
      </c>
      <c r="AE25">
        <v>0</v>
      </c>
      <c r="AF25">
        <v>9934</v>
      </c>
      <c r="AG25">
        <v>9934</v>
      </c>
      <c r="AH25">
        <v>0</v>
      </c>
      <c r="AI25">
        <v>0</v>
      </c>
      <c r="AJ25">
        <v>0</v>
      </c>
      <c r="AK25">
        <v>0</v>
      </c>
      <c r="AL25">
        <v>10000</v>
      </c>
      <c r="AM25">
        <v>10000</v>
      </c>
      <c r="AN25">
        <v>0</v>
      </c>
      <c r="AO25">
        <v>2200</v>
      </c>
      <c r="AP25">
        <v>2200</v>
      </c>
      <c r="AQ25">
        <v>0</v>
      </c>
      <c r="AR25">
        <v>75406</v>
      </c>
      <c r="AS25">
        <v>75406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223972</v>
      </c>
      <c r="BI25">
        <v>223972</v>
      </c>
      <c r="BJ25">
        <v>2200</v>
      </c>
      <c r="BK25">
        <v>0</v>
      </c>
      <c r="BL25">
        <v>31529</v>
      </c>
      <c r="BM25">
        <v>200</v>
      </c>
      <c r="BN25">
        <v>0</v>
      </c>
      <c r="BO25">
        <v>0</v>
      </c>
      <c r="BP25">
        <v>1800</v>
      </c>
      <c r="BQ25">
        <v>0</v>
      </c>
      <c r="BR25">
        <v>1800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35729</v>
      </c>
      <c r="CZ25">
        <v>188243</v>
      </c>
      <c r="DA25" t="s">
        <v>118</v>
      </c>
      <c r="DB25" t="s">
        <v>118</v>
      </c>
      <c r="DC25">
        <v>188243</v>
      </c>
      <c r="DE25">
        <v>188242</v>
      </c>
      <c r="DF25">
        <f t="shared" si="0"/>
        <v>1</v>
      </c>
    </row>
    <row r="26" spans="1:111">
      <c r="A26" t="s">
        <v>300</v>
      </c>
      <c r="B26" t="s">
        <v>301</v>
      </c>
      <c r="C26" t="s">
        <v>111</v>
      </c>
      <c r="D26" t="s">
        <v>302</v>
      </c>
      <c r="E26" t="s">
        <v>113</v>
      </c>
      <c r="F26" t="s">
        <v>114</v>
      </c>
      <c r="G26" t="s">
        <v>115</v>
      </c>
      <c r="H26" t="s">
        <v>113</v>
      </c>
      <c r="I26" t="s">
        <v>116</v>
      </c>
      <c r="J26" t="s">
        <v>117</v>
      </c>
      <c r="K26" t="s">
        <v>118</v>
      </c>
      <c r="L26" t="s">
        <v>118</v>
      </c>
      <c r="M26" t="s">
        <v>113</v>
      </c>
      <c r="N26" t="s">
        <v>199</v>
      </c>
      <c r="O26" t="s">
        <v>118</v>
      </c>
      <c r="P26" t="s">
        <v>117</v>
      </c>
      <c r="Q26" t="s">
        <v>117</v>
      </c>
      <c r="R26" t="s">
        <v>229</v>
      </c>
      <c r="S26" t="s">
        <v>120</v>
      </c>
      <c r="T26" t="s">
        <v>121</v>
      </c>
      <c r="U26" t="s">
        <v>122</v>
      </c>
      <c r="V26" t="s">
        <v>303</v>
      </c>
      <c r="W26" t="s">
        <v>135</v>
      </c>
      <c r="X26" t="s">
        <v>304</v>
      </c>
      <c r="Y26" t="s">
        <v>305</v>
      </c>
      <c r="Z26">
        <v>23587</v>
      </c>
      <c r="AA26">
        <v>23587</v>
      </c>
      <c r="AB26">
        <v>1456</v>
      </c>
      <c r="AC26">
        <v>9435</v>
      </c>
      <c r="AD26">
        <v>9435</v>
      </c>
      <c r="AE26">
        <v>583</v>
      </c>
      <c r="AF26">
        <v>2595</v>
      </c>
      <c r="AG26">
        <v>2595</v>
      </c>
      <c r="AH26">
        <v>161</v>
      </c>
      <c r="AI26">
        <v>0</v>
      </c>
      <c r="AJ26">
        <v>0</v>
      </c>
      <c r="AK26">
        <v>0</v>
      </c>
      <c r="AL26">
        <v>5897</v>
      </c>
      <c r="AM26">
        <v>5897</v>
      </c>
      <c r="AN26">
        <v>-3419</v>
      </c>
      <c r="AO26">
        <v>0</v>
      </c>
      <c r="AP26">
        <v>0</v>
      </c>
      <c r="AQ26">
        <v>0</v>
      </c>
      <c r="AR26">
        <v>15654</v>
      </c>
      <c r="AS26">
        <v>15654</v>
      </c>
      <c r="AT26">
        <v>4860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60809</v>
      </c>
      <c r="BI26">
        <v>60809</v>
      </c>
      <c r="BJ26">
        <v>0</v>
      </c>
      <c r="BK26">
        <v>0</v>
      </c>
      <c r="BL26">
        <v>0</v>
      </c>
      <c r="BM26">
        <v>200</v>
      </c>
      <c r="BN26">
        <v>0</v>
      </c>
      <c r="BO26">
        <v>0</v>
      </c>
      <c r="BP26">
        <v>1800</v>
      </c>
      <c r="BQ26">
        <v>0</v>
      </c>
      <c r="BR26">
        <v>1800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2000</v>
      </c>
      <c r="CZ26">
        <v>58809</v>
      </c>
      <c r="DA26" t="s">
        <v>118</v>
      </c>
      <c r="DB26" t="s">
        <v>118</v>
      </c>
      <c r="DC26">
        <v>58809</v>
      </c>
      <c r="DE26">
        <v>50800</v>
      </c>
      <c r="DF26">
        <f t="shared" si="0"/>
        <v>8009</v>
      </c>
      <c r="DG26" t="s">
        <v>204</v>
      </c>
    </row>
    <row r="27" spans="1:111">
      <c r="A27" t="s">
        <v>306</v>
      </c>
      <c r="B27" t="s">
        <v>307</v>
      </c>
      <c r="C27" t="s">
        <v>130</v>
      </c>
      <c r="D27" t="s">
        <v>308</v>
      </c>
      <c r="E27" t="s">
        <v>113</v>
      </c>
      <c r="F27" t="s">
        <v>114</v>
      </c>
      <c r="G27" t="s">
        <v>115</v>
      </c>
      <c r="H27" t="s">
        <v>113</v>
      </c>
      <c r="I27" s="3" t="s">
        <v>309</v>
      </c>
      <c r="J27" t="s">
        <v>117</v>
      </c>
      <c r="K27" t="s">
        <v>118</v>
      </c>
      <c r="L27" t="s">
        <v>118</v>
      </c>
      <c r="M27" t="s">
        <v>113</v>
      </c>
      <c r="N27" t="s">
        <v>118</v>
      </c>
      <c r="O27" t="s">
        <v>118</v>
      </c>
      <c r="P27" t="s">
        <v>117</v>
      </c>
      <c r="Q27" t="s">
        <v>117</v>
      </c>
      <c r="R27" t="s">
        <v>310</v>
      </c>
      <c r="S27" t="s">
        <v>311</v>
      </c>
      <c r="T27" t="s">
        <v>121</v>
      </c>
      <c r="U27" t="s">
        <v>122</v>
      </c>
      <c r="V27" t="s">
        <v>312</v>
      </c>
      <c r="W27" t="s">
        <v>124</v>
      </c>
      <c r="X27" t="s">
        <v>313</v>
      </c>
      <c r="Y27" t="s">
        <v>314</v>
      </c>
      <c r="Z27">
        <v>29217</v>
      </c>
      <c r="AA27">
        <v>29217</v>
      </c>
      <c r="AB27">
        <v>0</v>
      </c>
      <c r="AC27">
        <v>11687</v>
      </c>
      <c r="AD27">
        <v>11687</v>
      </c>
      <c r="AE27">
        <v>0</v>
      </c>
      <c r="AF27">
        <v>3214</v>
      </c>
      <c r="AG27">
        <v>3214</v>
      </c>
      <c r="AH27">
        <v>0</v>
      </c>
      <c r="AI27">
        <v>0</v>
      </c>
      <c r="AJ27">
        <v>0</v>
      </c>
      <c r="AK27">
        <v>0</v>
      </c>
      <c r="AL27">
        <v>7304</v>
      </c>
      <c r="AM27">
        <v>7304</v>
      </c>
      <c r="AN27">
        <v>0</v>
      </c>
      <c r="AO27">
        <v>0</v>
      </c>
      <c r="AP27">
        <v>0</v>
      </c>
      <c r="AQ27">
        <v>0</v>
      </c>
      <c r="AR27">
        <v>18114</v>
      </c>
      <c r="AS27">
        <v>18114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69536</v>
      </c>
      <c r="BI27">
        <v>69536</v>
      </c>
      <c r="BJ27">
        <v>0</v>
      </c>
      <c r="BK27">
        <v>0</v>
      </c>
      <c r="BL27">
        <v>0</v>
      </c>
      <c r="BM27">
        <v>200</v>
      </c>
      <c r="BN27">
        <v>0</v>
      </c>
      <c r="BO27">
        <v>0</v>
      </c>
      <c r="BP27">
        <v>3506</v>
      </c>
      <c r="BQ27">
        <v>0</v>
      </c>
      <c r="BR27">
        <v>3506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3706</v>
      </c>
      <c r="CZ27">
        <v>65830</v>
      </c>
      <c r="DA27" t="s">
        <v>118</v>
      </c>
      <c r="DB27" t="s">
        <v>118</v>
      </c>
      <c r="DC27">
        <v>65830</v>
      </c>
      <c r="DE27">
        <v>65830</v>
      </c>
      <c r="DF27">
        <f t="shared" si="0"/>
        <v>0</v>
      </c>
    </row>
    <row r="28" spans="1:111">
      <c r="A28" t="s">
        <v>315</v>
      </c>
      <c r="B28" t="s">
        <v>316</v>
      </c>
      <c r="C28" t="s">
        <v>140</v>
      </c>
      <c r="D28" t="s">
        <v>317</v>
      </c>
      <c r="E28" t="s">
        <v>113</v>
      </c>
      <c r="F28" t="s">
        <v>114</v>
      </c>
      <c r="G28" t="s">
        <v>115</v>
      </c>
      <c r="H28" t="s">
        <v>113</v>
      </c>
      <c r="I28" t="s">
        <v>116</v>
      </c>
      <c r="J28" t="s">
        <v>117</v>
      </c>
      <c r="K28" t="s">
        <v>118</v>
      </c>
      <c r="L28" t="s">
        <v>118</v>
      </c>
      <c r="M28" t="s">
        <v>113</v>
      </c>
      <c r="N28" t="s">
        <v>118</v>
      </c>
      <c r="O28" t="s">
        <v>118</v>
      </c>
      <c r="P28" t="s">
        <v>117</v>
      </c>
      <c r="Q28" t="s">
        <v>117</v>
      </c>
      <c r="R28" t="s">
        <v>140</v>
      </c>
      <c r="S28" t="s">
        <v>143</v>
      </c>
      <c r="T28" t="s">
        <v>121</v>
      </c>
      <c r="U28" t="s">
        <v>122</v>
      </c>
      <c r="V28" t="s">
        <v>318</v>
      </c>
      <c r="W28" t="s">
        <v>135</v>
      </c>
      <c r="X28" t="s">
        <v>319</v>
      </c>
      <c r="Y28" t="s">
        <v>320</v>
      </c>
      <c r="Z28">
        <v>10120</v>
      </c>
      <c r="AA28">
        <v>10120</v>
      </c>
      <c r="AB28">
        <v>0</v>
      </c>
      <c r="AC28">
        <v>4048</v>
      </c>
      <c r="AD28">
        <v>4048</v>
      </c>
      <c r="AE28">
        <v>0</v>
      </c>
      <c r="AF28">
        <v>1113</v>
      </c>
      <c r="AG28">
        <v>1113</v>
      </c>
      <c r="AH28">
        <v>0</v>
      </c>
      <c r="AI28">
        <v>0</v>
      </c>
      <c r="AJ28">
        <v>0</v>
      </c>
      <c r="AK28">
        <v>0</v>
      </c>
      <c r="AL28">
        <v>2530</v>
      </c>
      <c r="AM28">
        <v>2530</v>
      </c>
      <c r="AN28">
        <v>0</v>
      </c>
      <c r="AO28">
        <v>0</v>
      </c>
      <c r="AP28">
        <v>0</v>
      </c>
      <c r="AQ28">
        <v>0</v>
      </c>
      <c r="AR28">
        <v>5689</v>
      </c>
      <c r="AS28">
        <v>5689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23500</v>
      </c>
      <c r="BI28">
        <v>23500</v>
      </c>
      <c r="BJ28">
        <v>0</v>
      </c>
      <c r="BK28">
        <v>0</v>
      </c>
      <c r="BL28">
        <v>0</v>
      </c>
      <c r="BM28">
        <v>200</v>
      </c>
      <c r="BN28">
        <v>0</v>
      </c>
      <c r="BO28">
        <v>0</v>
      </c>
      <c r="BP28">
        <v>1800</v>
      </c>
      <c r="BQ28">
        <v>0</v>
      </c>
      <c r="BR28">
        <v>1800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2000</v>
      </c>
      <c r="CZ28">
        <v>21500</v>
      </c>
      <c r="DA28" t="s">
        <v>118</v>
      </c>
      <c r="DB28" t="s">
        <v>118</v>
      </c>
      <c r="DC28">
        <v>21500</v>
      </c>
      <c r="DE28">
        <v>21500</v>
      </c>
      <c r="DF28">
        <f t="shared" si="0"/>
        <v>0</v>
      </c>
    </row>
    <row r="29" spans="1:111">
      <c r="A29" t="s">
        <v>321</v>
      </c>
      <c r="B29" t="s">
        <v>322</v>
      </c>
      <c r="C29" t="s">
        <v>140</v>
      </c>
      <c r="D29" t="s">
        <v>317</v>
      </c>
      <c r="E29" t="s">
        <v>113</v>
      </c>
      <c r="F29" t="s">
        <v>114</v>
      </c>
      <c r="G29" t="s">
        <v>115</v>
      </c>
      <c r="H29" t="s">
        <v>113</v>
      </c>
      <c r="I29" t="s">
        <v>116</v>
      </c>
      <c r="J29" t="s">
        <v>117</v>
      </c>
      <c r="K29" t="s">
        <v>118</v>
      </c>
      <c r="L29" t="s">
        <v>118</v>
      </c>
      <c r="M29" t="s">
        <v>113</v>
      </c>
      <c r="N29" t="s">
        <v>118</v>
      </c>
      <c r="O29" t="s">
        <v>118</v>
      </c>
      <c r="P29" t="s">
        <v>117</v>
      </c>
      <c r="Q29" t="s">
        <v>117</v>
      </c>
      <c r="R29" t="s">
        <v>140</v>
      </c>
      <c r="S29" t="s">
        <v>143</v>
      </c>
      <c r="T29" t="s">
        <v>121</v>
      </c>
      <c r="U29" t="s">
        <v>122</v>
      </c>
      <c r="V29" t="s">
        <v>323</v>
      </c>
      <c r="W29" t="s">
        <v>135</v>
      </c>
      <c r="X29" t="s">
        <v>324</v>
      </c>
      <c r="Y29" t="s">
        <v>325</v>
      </c>
      <c r="Z29">
        <v>16560</v>
      </c>
      <c r="AA29">
        <v>16560</v>
      </c>
      <c r="AB29">
        <v>0</v>
      </c>
      <c r="AC29">
        <v>6624</v>
      </c>
      <c r="AD29">
        <v>6624</v>
      </c>
      <c r="AE29">
        <v>0</v>
      </c>
      <c r="AF29">
        <v>1822</v>
      </c>
      <c r="AG29">
        <v>1822</v>
      </c>
      <c r="AH29">
        <v>0</v>
      </c>
      <c r="AI29">
        <v>0</v>
      </c>
      <c r="AJ29">
        <v>0</v>
      </c>
      <c r="AK29">
        <v>0</v>
      </c>
      <c r="AL29">
        <v>4140</v>
      </c>
      <c r="AM29">
        <v>4140</v>
      </c>
      <c r="AN29">
        <v>0</v>
      </c>
      <c r="AO29">
        <v>0</v>
      </c>
      <c r="AP29">
        <v>0</v>
      </c>
      <c r="AQ29">
        <v>0</v>
      </c>
      <c r="AR29">
        <v>10454</v>
      </c>
      <c r="AS29">
        <v>10454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39600</v>
      </c>
      <c r="BI29">
        <v>39600</v>
      </c>
      <c r="BJ29">
        <v>0</v>
      </c>
      <c r="BK29">
        <v>0</v>
      </c>
      <c r="BL29">
        <v>0</v>
      </c>
      <c r="BM29">
        <v>200</v>
      </c>
      <c r="BN29">
        <v>0</v>
      </c>
      <c r="BO29">
        <v>0</v>
      </c>
      <c r="BP29">
        <v>1800</v>
      </c>
      <c r="BQ29">
        <v>0</v>
      </c>
      <c r="BR29">
        <v>1800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2000</v>
      </c>
      <c r="CZ29">
        <v>37600</v>
      </c>
      <c r="DA29" t="s">
        <v>118</v>
      </c>
      <c r="DB29" t="s">
        <v>118</v>
      </c>
      <c r="DC29">
        <v>37600</v>
      </c>
      <c r="DE29">
        <v>37600</v>
      </c>
      <c r="DF29">
        <f t="shared" si="0"/>
        <v>0</v>
      </c>
    </row>
    <row r="30" spans="1:111">
      <c r="A30" t="s">
        <v>326</v>
      </c>
      <c r="B30" t="s">
        <v>327</v>
      </c>
      <c r="C30" t="s">
        <v>328</v>
      </c>
      <c r="D30" t="s">
        <v>329</v>
      </c>
      <c r="E30" t="s">
        <v>113</v>
      </c>
      <c r="F30" t="s">
        <v>114</v>
      </c>
      <c r="G30" t="s">
        <v>115</v>
      </c>
      <c r="H30" t="s">
        <v>113</v>
      </c>
      <c r="I30" t="s">
        <v>116</v>
      </c>
      <c r="J30" t="s">
        <v>117</v>
      </c>
      <c r="K30" t="s">
        <v>118</v>
      </c>
      <c r="L30" t="s">
        <v>118</v>
      </c>
      <c r="M30" t="s">
        <v>113</v>
      </c>
      <c r="N30" t="s">
        <v>199</v>
      </c>
      <c r="O30" t="s">
        <v>118</v>
      </c>
      <c r="P30" t="s">
        <v>117</v>
      </c>
      <c r="Q30" t="s">
        <v>117</v>
      </c>
      <c r="R30" t="s">
        <v>330</v>
      </c>
      <c r="S30" t="s">
        <v>331</v>
      </c>
      <c r="T30" t="s">
        <v>121</v>
      </c>
      <c r="U30" t="s">
        <v>122</v>
      </c>
      <c r="V30" t="s">
        <v>332</v>
      </c>
      <c r="W30" t="s">
        <v>124</v>
      </c>
      <c r="X30" t="s">
        <v>333</v>
      </c>
      <c r="Y30" t="s">
        <v>334</v>
      </c>
      <c r="Z30">
        <v>143812</v>
      </c>
      <c r="AA30">
        <v>143812</v>
      </c>
      <c r="AB30">
        <v>10895</v>
      </c>
      <c r="AC30">
        <v>57525</v>
      </c>
      <c r="AD30">
        <v>57525</v>
      </c>
      <c r="AE30">
        <v>4358</v>
      </c>
      <c r="AF30">
        <v>15819</v>
      </c>
      <c r="AG30">
        <v>15819</v>
      </c>
      <c r="AH30">
        <v>1198</v>
      </c>
      <c r="AI30">
        <v>0</v>
      </c>
      <c r="AJ30">
        <v>0</v>
      </c>
      <c r="AK30">
        <v>0</v>
      </c>
      <c r="AL30">
        <v>10000</v>
      </c>
      <c r="AM30">
        <v>10000</v>
      </c>
      <c r="AN30">
        <v>0</v>
      </c>
      <c r="AO30">
        <v>2200</v>
      </c>
      <c r="AP30">
        <v>2200</v>
      </c>
      <c r="AQ30">
        <v>0</v>
      </c>
      <c r="AR30">
        <v>128374</v>
      </c>
      <c r="AS30">
        <v>128374</v>
      </c>
      <c r="AT30">
        <v>10785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384966</v>
      </c>
      <c r="BI30">
        <v>384966</v>
      </c>
      <c r="BJ30">
        <v>2200</v>
      </c>
      <c r="BK30">
        <v>0</v>
      </c>
      <c r="BL30">
        <v>74961</v>
      </c>
      <c r="BM30">
        <v>200</v>
      </c>
      <c r="BN30">
        <v>0</v>
      </c>
      <c r="BO30">
        <v>0</v>
      </c>
      <c r="BP30">
        <v>1800</v>
      </c>
      <c r="BQ30">
        <v>0</v>
      </c>
      <c r="BR30">
        <v>1800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79161</v>
      </c>
      <c r="CZ30">
        <v>305805</v>
      </c>
      <c r="DA30" t="s">
        <v>118</v>
      </c>
      <c r="DB30" t="s">
        <v>118</v>
      </c>
      <c r="DC30">
        <v>305805</v>
      </c>
      <c r="DE30">
        <v>257782</v>
      </c>
      <c r="DF30">
        <f t="shared" si="0"/>
        <v>48023</v>
      </c>
      <c r="DG30" t="s">
        <v>204</v>
      </c>
    </row>
    <row r="31" spans="1:111">
      <c r="A31" t="s">
        <v>335</v>
      </c>
      <c r="B31" t="s">
        <v>336</v>
      </c>
      <c r="C31" t="s">
        <v>337</v>
      </c>
      <c r="D31" t="s">
        <v>338</v>
      </c>
      <c r="E31" t="s">
        <v>113</v>
      </c>
      <c r="F31" t="s">
        <v>114</v>
      </c>
      <c r="G31" t="s">
        <v>115</v>
      </c>
      <c r="H31" t="s">
        <v>113</v>
      </c>
      <c r="I31" t="s">
        <v>116</v>
      </c>
      <c r="J31" t="s">
        <v>117</v>
      </c>
      <c r="K31" t="s">
        <v>118</v>
      </c>
      <c r="L31" t="s">
        <v>118</v>
      </c>
      <c r="M31" t="s">
        <v>113</v>
      </c>
      <c r="N31" t="s">
        <v>118</v>
      </c>
      <c r="O31" t="s">
        <v>118</v>
      </c>
      <c r="P31" t="s">
        <v>117</v>
      </c>
      <c r="Q31" t="s">
        <v>117</v>
      </c>
      <c r="R31" t="s">
        <v>339</v>
      </c>
      <c r="S31" t="s">
        <v>337</v>
      </c>
      <c r="T31" t="s">
        <v>121</v>
      </c>
      <c r="U31" t="s">
        <v>122</v>
      </c>
      <c r="V31" t="s">
        <v>340</v>
      </c>
      <c r="W31" t="s">
        <v>135</v>
      </c>
      <c r="X31" t="s">
        <v>341</v>
      </c>
      <c r="Y31" t="s">
        <v>342</v>
      </c>
      <c r="Z31">
        <v>21450</v>
      </c>
      <c r="AA31">
        <v>21450</v>
      </c>
      <c r="AB31">
        <v>0</v>
      </c>
      <c r="AC31">
        <v>8580</v>
      </c>
      <c r="AD31">
        <v>8580</v>
      </c>
      <c r="AE31">
        <v>0</v>
      </c>
      <c r="AF31">
        <v>2360</v>
      </c>
      <c r="AG31">
        <v>2360</v>
      </c>
      <c r="AH31">
        <v>0</v>
      </c>
      <c r="AI31">
        <v>0</v>
      </c>
      <c r="AJ31">
        <v>0</v>
      </c>
      <c r="AK31">
        <v>0</v>
      </c>
      <c r="AL31">
        <v>5363</v>
      </c>
      <c r="AM31">
        <v>5363</v>
      </c>
      <c r="AN31">
        <v>0</v>
      </c>
      <c r="AO31">
        <v>0</v>
      </c>
      <c r="AP31">
        <v>0</v>
      </c>
      <c r="AQ31">
        <v>0</v>
      </c>
      <c r="AR31">
        <v>10498</v>
      </c>
      <c r="AS31">
        <v>10498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48251</v>
      </c>
      <c r="BI31">
        <v>48251</v>
      </c>
      <c r="BJ31">
        <v>0</v>
      </c>
      <c r="BK31">
        <v>0</v>
      </c>
      <c r="BL31">
        <v>0</v>
      </c>
      <c r="BM31">
        <v>200</v>
      </c>
      <c r="BN31">
        <v>0</v>
      </c>
      <c r="BO31">
        <v>0</v>
      </c>
      <c r="BP31">
        <v>1800</v>
      </c>
      <c r="BQ31">
        <v>0</v>
      </c>
      <c r="BR31">
        <v>1800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2000</v>
      </c>
      <c r="CZ31">
        <v>46251</v>
      </c>
      <c r="DA31" t="s">
        <v>118</v>
      </c>
      <c r="DB31" t="s">
        <v>118</v>
      </c>
      <c r="DC31">
        <v>46251</v>
      </c>
      <c r="DE31">
        <v>46251</v>
      </c>
      <c r="DF31">
        <f t="shared" si="0"/>
        <v>0</v>
      </c>
    </row>
    <row r="32" spans="1:111">
      <c r="A32" t="s">
        <v>343</v>
      </c>
      <c r="B32" t="s">
        <v>344</v>
      </c>
      <c r="C32" t="s">
        <v>337</v>
      </c>
      <c r="D32" t="s">
        <v>338</v>
      </c>
      <c r="E32" t="s">
        <v>113</v>
      </c>
      <c r="F32" t="s">
        <v>114</v>
      </c>
      <c r="G32" t="s">
        <v>115</v>
      </c>
      <c r="H32" t="s">
        <v>113</v>
      </c>
      <c r="I32" t="s">
        <v>116</v>
      </c>
      <c r="J32" t="s">
        <v>117</v>
      </c>
      <c r="K32" t="s">
        <v>118</v>
      </c>
      <c r="L32" t="s">
        <v>118</v>
      </c>
      <c r="M32" t="s">
        <v>113</v>
      </c>
      <c r="N32" t="s">
        <v>118</v>
      </c>
      <c r="O32" t="s">
        <v>118</v>
      </c>
      <c r="P32" t="s">
        <v>117</v>
      </c>
      <c r="Q32" t="s">
        <v>117</v>
      </c>
      <c r="R32" t="s">
        <v>339</v>
      </c>
      <c r="S32" t="s">
        <v>182</v>
      </c>
      <c r="T32" t="s">
        <v>121</v>
      </c>
      <c r="U32" t="s">
        <v>122</v>
      </c>
      <c r="V32" t="s">
        <v>345</v>
      </c>
      <c r="W32" t="s">
        <v>124</v>
      </c>
      <c r="X32" t="s">
        <v>346</v>
      </c>
      <c r="Y32" t="s">
        <v>347</v>
      </c>
      <c r="Z32">
        <v>30667</v>
      </c>
      <c r="AA32">
        <v>30667</v>
      </c>
      <c r="AB32">
        <v>0</v>
      </c>
      <c r="AC32">
        <v>12267</v>
      </c>
      <c r="AD32">
        <v>12267</v>
      </c>
      <c r="AE32">
        <v>0</v>
      </c>
      <c r="AF32">
        <v>3373</v>
      </c>
      <c r="AG32">
        <v>3373</v>
      </c>
      <c r="AH32">
        <v>0</v>
      </c>
      <c r="AI32">
        <v>0</v>
      </c>
      <c r="AJ32">
        <v>0</v>
      </c>
      <c r="AK32">
        <v>0</v>
      </c>
      <c r="AL32">
        <v>7667</v>
      </c>
      <c r="AM32">
        <v>7667</v>
      </c>
      <c r="AN32">
        <v>0</v>
      </c>
      <c r="AO32">
        <v>0</v>
      </c>
      <c r="AP32">
        <v>0</v>
      </c>
      <c r="AQ32">
        <v>0</v>
      </c>
      <c r="AR32">
        <v>16877</v>
      </c>
      <c r="AS32">
        <v>16877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70851</v>
      </c>
      <c r="BI32">
        <v>70851</v>
      </c>
      <c r="BJ32">
        <v>0</v>
      </c>
      <c r="BK32">
        <v>0</v>
      </c>
      <c r="BL32">
        <v>0</v>
      </c>
      <c r="BM32">
        <v>200</v>
      </c>
      <c r="BN32">
        <v>0</v>
      </c>
      <c r="BO32">
        <v>0</v>
      </c>
      <c r="BP32">
        <v>1800</v>
      </c>
      <c r="BQ32">
        <v>0</v>
      </c>
      <c r="BR32">
        <v>1800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2000</v>
      </c>
      <c r="CZ32">
        <v>68851</v>
      </c>
      <c r="DA32" t="s">
        <v>118</v>
      </c>
      <c r="DB32" t="s">
        <v>118</v>
      </c>
      <c r="DC32">
        <v>68851</v>
      </c>
      <c r="DE32">
        <v>68851</v>
      </c>
      <c r="DF32">
        <f t="shared" si="0"/>
        <v>0</v>
      </c>
    </row>
    <row r="33" spans="1:111">
      <c r="A33" t="s">
        <v>348</v>
      </c>
      <c r="B33" t="s">
        <v>349</v>
      </c>
      <c r="C33" t="s">
        <v>182</v>
      </c>
      <c r="D33" t="s">
        <v>350</v>
      </c>
      <c r="E33" t="s">
        <v>113</v>
      </c>
      <c r="F33" t="s">
        <v>114</v>
      </c>
      <c r="G33" t="s">
        <v>115</v>
      </c>
      <c r="H33" t="s">
        <v>113</v>
      </c>
      <c r="I33" t="s">
        <v>116</v>
      </c>
      <c r="J33" t="s">
        <v>117</v>
      </c>
      <c r="K33" t="s">
        <v>118</v>
      </c>
      <c r="L33" t="s">
        <v>118</v>
      </c>
      <c r="M33" t="s">
        <v>113</v>
      </c>
      <c r="N33" t="s">
        <v>118</v>
      </c>
      <c r="O33" t="s">
        <v>118</v>
      </c>
      <c r="P33" t="s">
        <v>117</v>
      </c>
      <c r="Q33" t="s">
        <v>117</v>
      </c>
      <c r="R33" t="s">
        <v>296</v>
      </c>
      <c r="S33" t="s">
        <v>182</v>
      </c>
      <c r="T33" t="s">
        <v>121</v>
      </c>
      <c r="U33" t="s">
        <v>122</v>
      </c>
      <c r="V33" t="s">
        <v>351</v>
      </c>
      <c r="W33" t="s">
        <v>135</v>
      </c>
      <c r="X33" t="s">
        <v>352</v>
      </c>
      <c r="Y33" t="s">
        <v>353</v>
      </c>
      <c r="Z33">
        <v>73546</v>
      </c>
      <c r="AA33">
        <v>73546</v>
      </c>
      <c r="AB33">
        <v>0</v>
      </c>
      <c r="AC33">
        <v>29418</v>
      </c>
      <c r="AD33">
        <v>29418</v>
      </c>
      <c r="AE33">
        <v>0</v>
      </c>
      <c r="AF33">
        <v>8090</v>
      </c>
      <c r="AG33">
        <v>8090</v>
      </c>
      <c r="AH33">
        <v>0</v>
      </c>
      <c r="AI33">
        <v>0</v>
      </c>
      <c r="AJ33">
        <v>0</v>
      </c>
      <c r="AK33">
        <v>0</v>
      </c>
      <c r="AL33">
        <v>10000</v>
      </c>
      <c r="AM33">
        <v>10000</v>
      </c>
      <c r="AN33">
        <v>0</v>
      </c>
      <c r="AO33">
        <v>2200</v>
      </c>
      <c r="AP33">
        <v>2200</v>
      </c>
      <c r="AQ33">
        <v>0</v>
      </c>
      <c r="AR33">
        <v>51785</v>
      </c>
      <c r="AS33">
        <v>51785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175039</v>
      </c>
      <c r="BI33">
        <v>175039</v>
      </c>
      <c r="BJ33">
        <v>2200</v>
      </c>
      <c r="BK33">
        <v>0</v>
      </c>
      <c r="BL33">
        <v>23043</v>
      </c>
      <c r="BM33">
        <v>200</v>
      </c>
      <c r="BN33">
        <v>0</v>
      </c>
      <c r="BO33">
        <v>0</v>
      </c>
      <c r="BP33">
        <v>8826</v>
      </c>
      <c r="BQ33">
        <v>0</v>
      </c>
      <c r="BR33">
        <v>8826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34269</v>
      </c>
      <c r="CZ33">
        <v>140770</v>
      </c>
      <c r="DA33" t="s">
        <v>118</v>
      </c>
      <c r="DB33" t="s">
        <v>118</v>
      </c>
      <c r="DC33">
        <v>140770</v>
      </c>
      <c r="DE33">
        <v>140770</v>
      </c>
      <c r="DF33">
        <f t="shared" si="0"/>
        <v>0</v>
      </c>
    </row>
    <row r="34" spans="1:111">
      <c r="A34" t="s">
        <v>354</v>
      </c>
      <c r="B34" t="s">
        <v>355</v>
      </c>
      <c r="C34" t="s">
        <v>158</v>
      </c>
      <c r="D34" t="s">
        <v>356</v>
      </c>
      <c r="E34" t="s">
        <v>113</v>
      </c>
      <c r="F34" t="s">
        <v>114</v>
      </c>
      <c r="G34" t="s">
        <v>115</v>
      </c>
      <c r="H34" t="s">
        <v>113</v>
      </c>
      <c r="I34" t="s">
        <v>116</v>
      </c>
      <c r="J34" t="s">
        <v>117</v>
      </c>
      <c r="K34" t="s">
        <v>118</v>
      </c>
      <c r="L34" t="s">
        <v>118</v>
      </c>
      <c r="M34" t="s">
        <v>113</v>
      </c>
      <c r="N34" t="s">
        <v>118</v>
      </c>
      <c r="O34" t="s">
        <v>118</v>
      </c>
      <c r="P34" t="s">
        <v>117</v>
      </c>
      <c r="Q34" t="s">
        <v>117</v>
      </c>
      <c r="R34" t="s">
        <v>222</v>
      </c>
      <c r="S34" t="s">
        <v>169</v>
      </c>
      <c r="T34" t="s">
        <v>121</v>
      </c>
      <c r="U34" t="s">
        <v>122</v>
      </c>
      <c r="V34" t="s">
        <v>357</v>
      </c>
      <c r="W34" t="s">
        <v>124</v>
      </c>
      <c r="X34" t="s">
        <v>358</v>
      </c>
      <c r="Y34" t="s">
        <v>359</v>
      </c>
      <c r="Z34">
        <v>66600</v>
      </c>
      <c r="AA34">
        <v>66600</v>
      </c>
      <c r="AB34">
        <v>0</v>
      </c>
      <c r="AC34">
        <v>26640</v>
      </c>
      <c r="AD34">
        <v>26640</v>
      </c>
      <c r="AE34">
        <v>0</v>
      </c>
      <c r="AF34">
        <v>7326</v>
      </c>
      <c r="AG34">
        <v>7326</v>
      </c>
      <c r="AH34">
        <v>0</v>
      </c>
      <c r="AI34">
        <v>0</v>
      </c>
      <c r="AJ34">
        <v>0</v>
      </c>
      <c r="AK34">
        <v>0</v>
      </c>
      <c r="AL34">
        <v>10000</v>
      </c>
      <c r="AM34">
        <v>10000</v>
      </c>
      <c r="AN34">
        <v>0</v>
      </c>
      <c r="AO34">
        <v>0</v>
      </c>
      <c r="AP34">
        <v>0</v>
      </c>
      <c r="AQ34">
        <v>0</v>
      </c>
      <c r="AR34">
        <v>54134</v>
      </c>
      <c r="AS34">
        <v>54134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164700</v>
      </c>
      <c r="BI34">
        <v>164700</v>
      </c>
      <c r="BJ34">
        <v>0</v>
      </c>
      <c r="BK34">
        <v>0</v>
      </c>
      <c r="BL34">
        <v>15624</v>
      </c>
      <c r="BM34">
        <v>200</v>
      </c>
      <c r="BN34">
        <v>0</v>
      </c>
      <c r="BO34">
        <v>0</v>
      </c>
      <c r="BP34">
        <v>1800</v>
      </c>
      <c r="BQ34">
        <v>0</v>
      </c>
      <c r="BR34">
        <v>1800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17624</v>
      </c>
      <c r="CZ34">
        <v>147076</v>
      </c>
      <c r="DA34" t="s">
        <v>118</v>
      </c>
      <c r="DB34" t="s">
        <v>118</v>
      </c>
      <c r="DC34">
        <v>147076</v>
      </c>
      <c r="DE34">
        <v>147075</v>
      </c>
      <c r="DF34">
        <f t="shared" si="0"/>
        <v>1</v>
      </c>
    </row>
    <row r="35" spans="1:111">
      <c r="A35" t="s">
        <v>360</v>
      </c>
      <c r="B35" t="s">
        <v>361</v>
      </c>
      <c r="C35" t="s">
        <v>362</v>
      </c>
      <c r="D35" t="s">
        <v>363</v>
      </c>
      <c r="E35" t="s">
        <v>113</v>
      </c>
      <c r="F35" t="s">
        <v>114</v>
      </c>
      <c r="G35" t="s">
        <v>115</v>
      </c>
      <c r="H35" t="s">
        <v>113</v>
      </c>
      <c r="I35" t="s">
        <v>116</v>
      </c>
      <c r="J35" t="s">
        <v>117</v>
      </c>
      <c r="K35" t="s">
        <v>118</v>
      </c>
      <c r="L35" t="s">
        <v>118</v>
      </c>
      <c r="M35" t="s">
        <v>113</v>
      </c>
      <c r="N35" t="s">
        <v>118</v>
      </c>
      <c r="O35" t="s">
        <v>118</v>
      </c>
      <c r="P35" t="s">
        <v>117</v>
      </c>
      <c r="Q35" t="s">
        <v>117</v>
      </c>
      <c r="R35" t="s">
        <v>296</v>
      </c>
      <c r="S35" t="s">
        <v>169</v>
      </c>
      <c r="T35" t="s">
        <v>121</v>
      </c>
      <c r="U35" t="s">
        <v>122</v>
      </c>
      <c r="V35" t="s">
        <v>364</v>
      </c>
      <c r="W35" t="s">
        <v>135</v>
      </c>
      <c r="X35" t="s">
        <v>287</v>
      </c>
      <c r="Y35" t="s">
        <v>365</v>
      </c>
      <c r="Z35">
        <v>38017</v>
      </c>
      <c r="AA35">
        <v>38017</v>
      </c>
      <c r="AB35">
        <v>0</v>
      </c>
      <c r="AC35">
        <v>15207</v>
      </c>
      <c r="AD35">
        <v>15207</v>
      </c>
      <c r="AE35">
        <v>0</v>
      </c>
      <c r="AF35">
        <v>4182</v>
      </c>
      <c r="AG35">
        <v>4182</v>
      </c>
      <c r="AH35">
        <v>0</v>
      </c>
      <c r="AI35">
        <v>0</v>
      </c>
      <c r="AJ35">
        <v>0</v>
      </c>
      <c r="AK35">
        <v>0</v>
      </c>
      <c r="AL35">
        <v>9504</v>
      </c>
      <c r="AM35">
        <v>9504</v>
      </c>
      <c r="AN35">
        <v>0</v>
      </c>
      <c r="AO35">
        <v>2200</v>
      </c>
      <c r="AP35">
        <v>2200</v>
      </c>
      <c r="AQ35">
        <v>0</v>
      </c>
      <c r="AR35">
        <v>21370</v>
      </c>
      <c r="AS35">
        <v>21370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90480</v>
      </c>
      <c r="BI35">
        <v>90480</v>
      </c>
      <c r="BJ35">
        <v>2200</v>
      </c>
      <c r="BK35">
        <v>0</v>
      </c>
      <c r="BL35">
        <v>0</v>
      </c>
      <c r="BM35">
        <v>200</v>
      </c>
      <c r="BN35">
        <v>0</v>
      </c>
      <c r="BO35">
        <v>0</v>
      </c>
      <c r="BP35">
        <v>4562</v>
      </c>
      <c r="BQ35">
        <v>0</v>
      </c>
      <c r="BR35">
        <v>4562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6962</v>
      </c>
      <c r="CZ35">
        <v>83518</v>
      </c>
      <c r="DA35" t="s">
        <v>118</v>
      </c>
      <c r="DB35" t="s">
        <v>118</v>
      </c>
      <c r="DC35">
        <v>83518</v>
      </c>
      <c r="DE35">
        <v>83518</v>
      </c>
      <c r="DF35">
        <f t="shared" si="0"/>
        <v>0</v>
      </c>
    </row>
    <row r="36" spans="1:111">
      <c r="A36" t="s">
        <v>366</v>
      </c>
      <c r="B36" t="s">
        <v>367</v>
      </c>
      <c r="C36" t="s">
        <v>158</v>
      </c>
      <c r="D36" t="s">
        <v>368</v>
      </c>
      <c r="E36" t="s">
        <v>113</v>
      </c>
      <c r="F36" t="s">
        <v>114</v>
      </c>
      <c r="G36" t="s">
        <v>115</v>
      </c>
      <c r="H36" t="s">
        <v>113</v>
      </c>
      <c r="I36" t="s">
        <v>116</v>
      </c>
      <c r="J36" t="s">
        <v>117</v>
      </c>
      <c r="K36" t="s">
        <v>118</v>
      </c>
      <c r="L36" t="s">
        <v>118</v>
      </c>
      <c r="M36" t="s">
        <v>113</v>
      </c>
      <c r="N36" t="s">
        <v>118</v>
      </c>
      <c r="O36" t="s">
        <v>118</v>
      </c>
      <c r="P36" t="s">
        <v>117</v>
      </c>
      <c r="Q36" t="s">
        <v>117</v>
      </c>
      <c r="R36" t="s">
        <v>222</v>
      </c>
      <c r="S36" t="s">
        <v>169</v>
      </c>
      <c r="T36" t="s">
        <v>121</v>
      </c>
      <c r="U36" t="s">
        <v>122</v>
      </c>
      <c r="V36" t="s">
        <v>369</v>
      </c>
      <c r="W36" t="s">
        <v>135</v>
      </c>
      <c r="X36" t="s">
        <v>370</v>
      </c>
      <c r="Y36" t="s">
        <v>371</v>
      </c>
      <c r="Z36">
        <v>74260</v>
      </c>
      <c r="AA36">
        <v>74260</v>
      </c>
      <c r="AB36">
        <v>0</v>
      </c>
      <c r="AC36">
        <v>29704</v>
      </c>
      <c r="AD36">
        <v>29704</v>
      </c>
      <c r="AE36">
        <v>0</v>
      </c>
      <c r="AF36">
        <v>8169</v>
      </c>
      <c r="AG36">
        <v>8169</v>
      </c>
      <c r="AH36">
        <v>0</v>
      </c>
      <c r="AI36">
        <v>0</v>
      </c>
      <c r="AJ36">
        <v>0</v>
      </c>
      <c r="AK36">
        <v>0</v>
      </c>
      <c r="AL36">
        <v>10000</v>
      </c>
      <c r="AM36">
        <v>10000</v>
      </c>
      <c r="AN36">
        <v>0</v>
      </c>
      <c r="AO36">
        <v>0</v>
      </c>
      <c r="AP36">
        <v>0</v>
      </c>
      <c r="AQ36">
        <v>0</v>
      </c>
      <c r="AR36">
        <v>61717</v>
      </c>
      <c r="AS36">
        <v>61717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183850</v>
      </c>
      <c r="BI36">
        <v>183850</v>
      </c>
      <c r="BJ36">
        <v>0</v>
      </c>
      <c r="BK36">
        <v>0</v>
      </c>
      <c r="BL36">
        <v>20176</v>
      </c>
      <c r="BM36">
        <v>200</v>
      </c>
      <c r="BN36">
        <v>0</v>
      </c>
      <c r="BO36">
        <v>0</v>
      </c>
      <c r="BP36">
        <v>1800</v>
      </c>
      <c r="BQ36">
        <v>0</v>
      </c>
      <c r="BR36">
        <v>1800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22176</v>
      </c>
      <c r="CZ36">
        <v>161674</v>
      </c>
      <c r="DA36" t="s">
        <v>118</v>
      </c>
      <c r="DB36" t="s">
        <v>118</v>
      </c>
      <c r="DC36">
        <v>161674</v>
      </c>
      <c r="DE36">
        <v>161674</v>
      </c>
      <c r="DF36">
        <f t="shared" si="0"/>
        <v>0</v>
      </c>
    </row>
    <row r="37" spans="1:111">
      <c r="A37" t="s">
        <v>372</v>
      </c>
      <c r="B37" t="s">
        <v>373</v>
      </c>
      <c r="C37" t="s">
        <v>140</v>
      </c>
      <c r="D37" t="s">
        <v>374</v>
      </c>
      <c r="E37" t="s">
        <v>113</v>
      </c>
      <c r="F37" t="s">
        <v>114</v>
      </c>
      <c r="G37" t="s">
        <v>115</v>
      </c>
      <c r="H37" t="s">
        <v>113</v>
      </c>
      <c r="I37" t="s">
        <v>116</v>
      </c>
      <c r="J37" t="s">
        <v>117</v>
      </c>
      <c r="K37" t="s">
        <v>118</v>
      </c>
      <c r="L37" t="s">
        <v>118</v>
      </c>
      <c r="M37" t="s">
        <v>113</v>
      </c>
      <c r="N37" t="s">
        <v>118</v>
      </c>
      <c r="O37" t="s">
        <v>118</v>
      </c>
      <c r="P37" t="s">
        <v>117</v>
      </c>
      <c r="Q37" t="s">
        <v>117</v>
      </c>
      <c r="R37" t="s">
        <v>142</v>
      </c>
      <c r="S37" t="s">
        <v>143</v>
      </c>
      <c r="T37" t="s">
        <v>121</v>
      </c>
      <c r="U37" t="s">
        <v>122</v>
      </c>
      <c r="V37" t="s">
        <v>375</v>
      </c>
      <c r="W37" t="s">
        <v>135</v>
      </c>
      <c r="X37" t="s">
        <v>376</v>
      </c>
      <c r="Y37" t="s">
        <v>377</v>
      </c>
      <c r="Z37">
        <v>14080</v>
      </c>
      <c r="AA37">
        <v>14080</v>
      </c>
      <c r="AB37">
        <v>0</v>
      </c>
      <c r="AC37">
        <v>5632</v>
      </c>
      <c r="AD37">
        <v>5632</v>
      </c>
      <c r="AE37">
        <v>0</v>
      </c>
      <c r="AF37">
        <v>1549</v>
      </c>
      <c r="AG37">
        <v>1549</v>
      </c>
      <c r="AH37">
        <v>0</v>
      </c>
      <c r="AI37">
        <v>0</v>
      </c>
      <c r="AJ37">
        <v>0</v>
      </c>
      <c r="AK37">
        <v>0</v>
      </c>
      <c r="AL37">
        <v>3520</v>
      </c>
      <c r="AM37">
        <v>3520</v>
      </c>
      <c r="AN37">
        <v>0</v>
      </c>
      <c r="AO37">
        <v>0</v>
      </c>
      <c r="AP37">
        <v>0</v>
      </c>
      <c r="AQ37">
        <v>0</v>
      </c>
      <c r="AR37">
        <v>8619</v>
      </c>
      <c r="AS37">
        <v>8619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33400</v>
      </c>
      <c r="BI37">
        <v>33400</v>
      </c>
      <c r="BJ37">
        <v>0</v>
      </c>
      <c r="BK37">
        <v>0</v>
      </c>
      <c r="BL37">
        <v>0</v>
      </c>
      <c r="BM37">
        <v>200</v>
      </c>
      <c r="BN37">
        <v>0</v>
      </c>
      <c r="BO37">
        <v>0</v>
      </c>
      <c r="BP37">
        <v>1800</v>
      </c>
      <c r="BQ37">
        <v>0</v>
      </c>
      <c r="BR37">
        <v>1800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2000</v>
      </c>
      <c r="CZ37">
        <v>31400</v>
      </c>
      <c r="DA37" t="s">
        <v>118</v>
      </c>
      <c r="DB37" t="s">
        <v>118</v>
      </c>
      <c r="DC37">
        <v>31400</v>
      </c>
      <c r="DE37">
        <v>31400</v>
      </c>
      <c r="DF37">
        <f t="shared" si="0"/>
        <v>0</v>
      </c>
    </row>
    <row r="38" spans="1:111">
      <c r="A38" t="s">
        <v>378</v>
      </c>
      <c r="B38" t="s">
        <v>379</v>
      </c>
      <c r="C38" t="s">
        <v>328</v>
      </c>
      <c r="D38" t="s">
        <v>380</v>
      </c>
      <c r="E38" t="s">
        <v>113</v>
      </c>
      <c r="F38" t="s">
        <v>114</v>
      </c>
      <c r="G38" t="s">
        <v>115</v>
      </c>
      <c r="H38" t="s">
        <v>113</v>
      </c>
      <c r="I38" t="s">
        <v>116</v>
      </c>
      <c r="J38" t="s">
        <v>117</v>
      </c>
      <c r="K38" t="s">
        <v>118</v>
      </c>
      <c r="L38" t="s">
        <v>118</v>
      </c>
      <c r="M38" t="s">
        <v>113</v>
      </c>
      <c r="N38" t="s">
        <v>118</v>
      </c>
      <c r="O38" t="s">
        <v>118</v>
      </c>
      <c r="P38" t="s">
        <v>117</v>
      </c>
      <c r="Q38" t="s">
        <v>117</v>
      </c>
      <c r="R38" t="s">
        <v>184</v>
      </c>
      <c r="S38" t="s">
        <v>331</v>
      </c>
      <c r="T38" t="s">
        <v>121</v>
      </c>
      <c r="U38" t="s">
        <v>122</v>
      </c>
      <c r="V38" t="s">
        <v>381</v>
      </c>
      <c r="W38" t="s">
        <v>135</v>
      </c>
      <c r="X38" t="s">
        <v>382</v>
      </c>
      <c r="Y38" t="s">
        <v>383</v>
      </c>
      <c r="Z38">
        <v>81120</v>
      </c>
      <c r="AA38">
        <v>81120</v>
      </c>
      <c r="AB38">
        <v>0</v>
      </c>
      <c r="AC38">
        <v>32448</v>
      </c>
      <c r="AD38">
        <v>32448</v>
      </c>
      <c r="AE38">
        <v>0</v>
      </c>
      <c r="AF38">
        <v>8923</v>
      </c>
      <c r="AG38">
        <v>8923</v>
      </c>
      <c r="AH38">
        <v>0</v>
      </c>
      <c r="AI38">
        <v>0</v>
      </c>
      <c r="AJ38">
        <v>0</v>
      </c>
      <c r="AK38">
        <v>0</v>
      </c>
      <c r="AL38">
        <v>10000</v>
      </c>
      <c r="AM38">
        <v>10000</v>
      </c>
      <c r="AN38">
        <v>0</v>
      </c>
      <c r="AO38">
        <v>0</v>
      </c>
      <c r="AP38">
        <v>0</v>
      </c>
      <c r="AQ38">
        <v>0</v>
      </c>
      <c r="AR38">
        <v>60575</v>
      </c>
      <c r="AS38">
        <v>60575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193066</v>
      </c>
      <c r="BI38">
        <v>193066</v>
      </c>
      <c r="BJ38">
        <v>0</v>
      </c>
      <c r="BK38">
        <v>0</v>
      </c>
      <c r="BL38">
        <v>22572</v>
      </c>
      <c r="BM38">
        <v>200</v>
      </c>
      <c r="BN38">
        <v>0</v>
      </c>
      <c r="BO38">
        <v>0</v>
      </c>
      <c r="BP38">
        <v>9734</v>
      </c>
      <c r="BQ38">
        <v>0</v>
      </c>
      <c r="BR38">
        <v>9734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32506</v>
      </c>
      <c r="CZ38">
        <v>160560</v>
      </c>
      <c r="DA38" t="s">
        <v>118</v>
      </c>
      <c r="DB38" t="s">
        <v>118</v>
      </c>
      <c r="DC38">
        <v>160560</v>
      </c>
      <c r="DE38">
        <v>160559</v>
      </c>
      <c r="DF38">
        <f t="shared" si="0"/>
        <v>1</v>
      </c>
    </row>
    <row r="39" spans="1:111">
      <c r="A39" t="s">
        <v>384</v>
      </c>
      <c r="B39" t="s">
        <v>385</v>
      </c>
      <c r="C39" t="s">
        <v>182</v>
      </c>
      <c r="D39" t="s">
        <v>386</v>
      </c>
      <c r="E39" t="s">
        <v>113</v>
      </c>
      <c r="F39" t="s">
        <v>114</v>
      </c>
      <c r="G39" t="s">
        <v>115</v>
      </c>
      <c r="H39" t="s">
        <v>113</v>
      </c>
      <c r="I39" t="s">
        <v>116</v>
      </c>
      <c r="J39" t="s">
        <v>117</v>
      </c>
      <c r="K39" t="s">
        <v>118</v>
      </c>
      <c r="L39" t="s">
        <v>118</v>
      </c>
      <c r="M39" t="s">
        <v>113</v>
      </c>
      <c r="N39" t="s">
        <v>118</v>
      </c>
      <c r="O39" t="s">
        <v>118</v>
      </c>
      <c r="P39" t="s">
        <v>117</v>
      </c>
      <c r="Q39" t="s">
        <v>117</v>
      </c>
      <c r="R39" t="s">
        <v>184</v>
      </c>
      <c r="S39" t="s">
        <v>169</v>
      </c>
      <c r="T39" t="s">
        <v>121</v>
      </c>
      <c r="U39" t="s">
        <v>122</v>
      </c>
      <c r="V39" t="s">
        <v>387</v>
      </c>
      <c r="W39" t="s">
        <v>135</v>
      </c>
      <c r="X39" t="s">
        <v>388</v>
      </c>
      <c r="Y39" t="s">
        <v>389</v>
      </c>
      <c r="Z39">
        <v>138319</v>
      </c>
      <c r="AA39">
        <v>138319</v>
      </c>
      <c r="AB39">
        <v>0</v>
      </c>
      <c r="AC39">
        <v>55328</v>
      </c>
      <c r="AD39">
        <v>55328</v>
      </c>
      <c r="AE39">
        <v>0</v>
      </c>
      <c r="AF39">
        <v>15215</v>
      </c>
      <c r="AG39">
        <v>15215</v>
      </c>
      <c r="AH39">
        <v>0</v>
      </c>
      <c r="AI39">
        <v>0</v>
      </c>
      <c r="AJ39">
        <v>0</v>
      </c>
      <c r="AK39">
        <v>0</v>
      </c>
      <c r="AL39">
        <v>10000</v>
      </c>
      <c r="AM39">
        <v>10000</v>
      </c>
      <c r="AN39">
        <v>0</v>
      </c>
      <c r="AO39">
        <v>2200</v>
      </c>
      <c r="AP39">
        <v>2200</v>
      </c>
      <c r="AQ39">
        <v>0</v>
      </c>
      <c r="AR39">
        <v>122935</v>
      </c>
      <c r="AS39">
        <v>122935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343997</v>
      </c>
      <c r="BI39">
        <v>343997</v>
      </c>
      <c r="BJ39">
        <v>2200</v>
      </c>
      <c r="BK39">
        <v>0</v>
      </c>
      <c r="BL39">
        <v>68978</v>
      </c>
      <c r="BM39">
        <v>200</v>
      </c>
      <c r="BN39">
        <v>0</v>
      </c>
      <c r="BO39">
        <v>0</v>
      </c>
      <c r="BP39">
        <v>1800</v>
      </c>
      <c r="BQ39">
        <v>0</v>
      </c>
      <c r="BR39">
        <v>1800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73178</v>
      </c>
      <c r="CZ39">
        <v>270819</v>
      </c>
      <c r="DA39" t="s">
        <v>118</v>
      </c>
      <c r="DB39" t="s">
        <v>118</v>
      </c>
      <c r="DC39">
        <v>270819</v>
      </c>
      <c r="DE39">
        <v>270820</v>
      </c>
      <c r="DF39">
        <f t="shared" si="0"/>
        <v>-1</v>
      </c>
    </row>
    <row r="40" spans="1:111">
      <c r="A40" t="s">
        <v>390</v>
      </c>
      <c r="B40" t="s">
        <v>391</v>
      </c>
      <c r="C40" t="s">
        <v>158</v>
      </c>
      <c r="D40" t="s">
        <v>392</v>
      </c>
      <c r="E40" t="s">
        <v>113</v>
      </c>
      <c r="F40" t="s">
        <v>114</v>
      </c>
      <c r="G40" t="s">
        <v>115</v>
      </c>
      <c r="H40" t="s">
        <v>113</v>
      </c>
      <c r="I40" t="s">
        <v>116</v>
      </c>
      <c r="J40" t="s">
        <v>117</v>
      </c>
      <c r="K40" t="s">
        <v>118</v>
      </c>
      <c r="L40" t="s">
        <v>118</v>
      </c>
      <c r="M40" t="s">
        <v>113</v>
      </c>
      <c r="N40" t="s">
        <v>118</v>
      </c>
      <c r="O40" t="s">
        <v>118</v>
      </c>
      <c r="P40" t="s">
        <v>117</v>
      </c>
      <c r="Q40" t="s">
        <v>117</v>
      </c>
      <c r="R40" t="s">
        <v>393</v>
      </c>
      <c r="S40" t="s">
        <v>169</v>
      </c>
      <c r="T40" t="s">
        <v>121</v>
      </c>
      <c r="U40" t="s">
        <v>122</v>
      </c>
      <c r="V40" t="s">
        <v>394</v>
      </c>
      <c r="W40" t="s">
        <v>135</v>
      </c>
      <c r="X40" t="s">
        <v>395</v>
      </c>
      <c r="Y40" t="s">
        <v>396</v>
      </c>
      <c r="Z40">
        <v>18624</v>
      </c>
      <c r="AA40">
        <v>18624</v>
      </c>
      <c r="AB40">
        <v>0</v>
      </c>
      <c r="AC40">
        <v>7450</v>
      </c>
      <c r="AD40">
        <v>7450</v>
      </c>
      <c r="AE40">
        <v>0</v>
      </c>
      <c r="AF40">
        <v>2049</v>
      </c>
      <c r="AG40">
        <v>2049</v>
      </c>
      <c r="AH40">
        <v>0</v>
      </c>
      <c r="AI40">
        <v>0</v>
      </c>
      <c r="AJ40">
        <v>0</v>
      </c>
      <c r="AK40">
        <v>0</v>
      </c>
      <c r="AL40">
        <v>4656</v>
      </c>
      <c r="AM40">
        <v>4656</v>
      </c>
      <c r="AN40">
        <v>0</v>
      </c>
      <c r="AO40">
        <v>0</v>
      </c>
      <c r="AP40">
        <v>0</v>
      </c>
      <c r="AQ40">
        <v>0</v>
      </c>
      <c r="AR40">
        <v>11981</v>
      </c>
      <c r="AS40">
        <v>11981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44760</v>
      </c>
      <c r="BI40">
        <v>44760</v>
      </c>
      <c r="BJ40">
        <v>0</v>
      </c>
      <c r="BK40">
        <v>0</v>
      </c>
      <c r="BL40">
        <v>0</v>
      </c>
      <c r="BM40">
        <v>200</v>
      </c>
      <c r="BN40">
        <v>0</v>
      </c>
      <c r="BO40">
        <v>0</v>
      </c>
      <c r="BP40">
        <v>1800</v>
      </c>
      <c r="BQ40">
        <v>0</v>
      </c>
      <c r="BR40">
        <v>1800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2000</v>
      </c>
      <c r="CZ40">
        <v>42760</v>
      </c>
      <c r="DA40" t="s">
        <v>118</v>
      </c>
      <c r="DB40" t="s">
        <v>118</v>
      </c>
      <c r="DC40">
        <v>42760</v>
      </c>
      <c r="DE40">
        <v>42760</v>
      </c>
      <c r="DF40">
        <f t="shared" si="0"/>
        <v>0</v>
      </c>
    </row>
    <row r="41" spans="1:111">
      <c r="A41" t="s">
        <v>397</v>
      </c>
      <c r="B41" t="s">
        <v>398</v>
      </c>
      <c r="C41" t="s">
        <v>362</v>
      </c>
      <c r="D41" t="s">
        <v>392</v>
      </c>
      <c r="E41" t="s">
        <v>113</v>
      </c>
      <c r="F41" t="s">
        <v>114</v>
      </c>
      <c r="G41" t="s">
        <v>115</v>
      </c>
      <c r="H41" t="s">
        <v>113</v>
      </c>
      <c r="I41" t="s">
        <v>116</v>
      </c>
      <c r="J41" t="s">
        <v>117</v>
      </c>
      <c r="K41" t="s">
        <v>118</v>
      </c>
      <c r="L41" t="s">
        <v>118</v>
      </c>
      <c r="M41" t="s">
        <v>113</v>
      </c>
      <c r="N41" t="s">
        <v>118</v>
      </c>
      <c r="O41" t="s">
        <v>118</v>
      </c>
      <c r="P41" t="s">
        <v>117</v>
      </c>
      <c r="Q41" t="s">
        <v>117</v>
      </c>
      <c r="R41" t="s">
        <v>272</v>
      </c>
      <c r="S41" t="s">
        <v>169</v>
      </c>
      <c r="T41" t="s">
        <v>121</v>
      </c>
      <c r="U41" t="s">
        <v>122</v>
      </c>
      <c r="V41" t="s">
        <v>399</v>
      </c>
      <c r="W41" t="s">
        <v>135</v>
      </c>
      <c r="X41" t="s">
        <v>400</v>
      </c>
      <c r="Y41" t="s">
        <v>401</v>
      </c>
      <c r="Z41">
        <v>127563</v>
      </c>
      <c r="AA41">
        <v>127563</v>
      </c>
      <c r="AB41">
        <v>0</v>
      </c>
      <c r="AC41">
        <v>51025</v>
      </c>
      <c r="AD41">
        <v>51025</v>
      </c>
      <c r="AE41">
        <v>0</v>
      </c>
      <c r="AF41">
        <v>14032</v>
      </c>
      <c r="AG41">
        <v>14032</v>
      </c>
      <c r="AH41">
        <v>0</v>
      </c>
      <c r="AI41">
        <v>0</v>
      </c>
      <c r="AJ41">
        <v>0</v>
      </c>
      <c r="AK41">
        <v>0</v>
      </c>
      <c r="AL41">
        <v>10000</v>
      </c>
      <c r="AM41">
        <v>10000</v>
      </c>
      <c r="AN41">
        <v>0</v>
      </c>
      <c r="AO41">
        <v>2200</v>
      </c>
      <c r="AP41">
        <v>2200</v>
      </c>
      <c r="AQ41">
        <v>0</v>
      </c>
      <c r="AR41">
        <v>112288</v>
      </c>
      <c r="AS41">
        <v>112288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20000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20000</v>
      </c>
      <c r="BH41">
        <v>337108</v>
      </c>
      <c r="BI41">
        <v>337108</v>
      </c>
      <c r="BJ41">
        <v>2200</v>
      </c>
      <c r="BK41">
        <v>0</v>
      </c>
      <c r="BL41">
        <v>76281</v>
      </c>
      <c r="BM41">
        <v>200</v>
      </c>
      <c r="BN41">
        <v>0</v>
      </c>
      <c r="BO41">
        <v>0</v>
      </c>
      <c r="BP41">
        <v>1800</v>
      </c>
      <c r="BQ41">
        <v>0</v>
      </c>
      <c r="BR41">
        <v>1800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80481</v>
      </c>
      <c r="CZ41">
        <v>256627</v>
      </c>
      <c r="DA41" t="s">
        <v>118</v>
      </c>
      <c r="DB41" t="s">
        <v>118</v>
      </c>
      <c r="DC41">
        <v>256627</v>
      </c>
      <c r="DE41">
        <v>257875</v>
      </c>
      <c r="DF41">
        <f t="shared" si="0"/>
        <v>-1248</v>
      </c>
      <c r="DG41" t="s">
        <v>402</v>
      </c>
    </row>
    <row r="42" spans="1:111">
      <c r="A42" t="s">
        <v>403</v>
      </c>
      <c r="B42" t="s">
        <v>404</v>
      </c>
      <c r="C42" t="s">
        <v>362</v>
      </c>
      <c r="D42" t="s">
        <v>405</v>
      </c>
      <c r="E42" t="s">
        <v>113</v>
      </c>
      <c r="F42" t="s">
        <v>114</v>
      </c>
      <c r="G42" t="s">
        <v>115</v>
      </c>
      <c r="H42" t="s">
        <v>113</v>
      </c>
      <c r="I42" t="s">
        <v>116</v>
      </c>
      <c r="J42" t="s">
        <v>117</v>
      </c>
      <c r="K42" t="s">
        <v>118</v>
      </c>
      <c r="L42" t="s">
        <v>118</v>
      </c>
      <c r="M42" t="s">
        <v>113</v>
      </c>
      <c r="N42" t="s">
        <v>118</v>
      </c>
      <c r="O42" t="s">
        <v>118</v>
      </c>
      <c r="P42" t="s">
        <v>117</v>
      </c>
      <c r="Q42" t="s">
        <v>117</v>
      </c>
      <c r="R42" t="s">
        <v>406</v>
      </c>
      <c r="S42" t="s">
        <v>169</v>
      </c>
      <c r="T42" t="s">
        <v>121</v>
      </c>
      <c r="U42" t="s">
        <v>122</v>
      </c>
      <c r="V42" t="s">
        <v>407</v>
      </c>
      <c r="W42" t="s">
        <v>135</v>
      </c>
      <c r="X42" t="s">
        <v>408</v>
      </c>
      <c r="Y42" t="s">
        <v>409</v>
      </c>
      <c r="Z42">
        <v>97114</v>
      </c>
      <c r="AA42">
        <v>97114</v>
      </c>
      <c r="AB42">
        <v>0</v>
      </c>
      <c r="AC42">
        <v>38846</v>
      </c>
      <c r="AD42">
        <v>38846</v>
      </c>
      <c r="AE42">
        <v>0</v>
      </c>
      <c r="AF42">
        <v>10683</v>
      </c>
      <c r="AG42">
        <v>10683</v>
      </c>
      <c r="AH42">
        <v>0</v>
      </c>
      <c r="AI42">
        <v>0</v>
      </c>
      <c r="AJ42">
        <v>0</v>
      </c>
      <c r="AK42">
        <v>0</v>
      </c>
      <c r="AL42">
        <v>10000</v>
      </c>
      <c r="AM42">
        <v>10000</v>
      </c>
      <c r="AN42">
        <v>0</v>
      </c>
      <c r="AO42">
        <v>2200</v>
      </c>
      <c r="AP42">
        <v>2200</v>
      </c>
      <c r="AQ42">
        <v>0</v>
      </c>
      <c r="AR42">
        <v>82142</v>
      </c>
      <c r="AS42">
        <v>82142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20000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20000</v>
      </c>
      <c r="BH42">
        <v>260985</v>
      </c>
      <c r="BI42">
        <v>260985</v>
      </c>
      <c r="BJ42">
        <v>2200</v>
      </c>
      <c r="BK42">
        <v>0</v>
      </c>
      <c r="BL42">
        <v>49051</v>
      </c>
      <c r="BM42">
        <v>200</v>
      </c>
      <c r="BN42">
        <v>0</v>
      </c>
      <c r="BO42">
        <v>0</v>
      </c>
      <c r="BP42">
        <v>1800</v>
      </c>
      <c r="BQ42">
        <v>0</v>
      </c>
      <c r="BR42">
        <v>1800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53251</v>
      </c>
      <c r="CZ42">
        <v>207734</v>
      </c>
      <c r="DA42" t="s">
        <v>118</v>
      </c>
      <c r="DB42" t="s">
        <v>118</v>
      </c>
      <c r="DC42">
        <v>207734</v>
      </c>
      <c r="DE42">
        <v>208982</v>
      </c>
      <c r="DF42">
        <f t="shared" si="0"/>
        <v>-1248</v>
      </c>
      <c r="DG42" t="s">
        <v>402</v>
      </c>
    </row>
    <row r="43" spans="1:111">
      <c r="A43" t="s">
        <v>410</v>
      </c>
      <c r="B43" t="s">
        <v>411</v>
      </c>
      <c r="C43" t="s">
        <v>412</v>
      </c>
      <c r="D43" t="s">
        <v>413</v>
      </c>
      <c r="E43" t="s">
        <v>113</v>
      </c>
      <c r="F43" t="s">
        <v>114</v>
      </c>
      <c r="G43" t="s">
        <v>115</v>
      </c>
      <c r="H43" t="s">
        <v>113</v>
      </c>
      <c r="I43" t="s">
        <v>116</v>
      </c>
      <c r="J43" t="s">
        <v>117</v>
      </c>
      <c r="K43" t="s">
        <v>118</v>
      </c>
      <c r="L43" t="s">
        <v>118</v>
      </c>
      <c r="M43" t="s">
        <v>113</v>
      </c>
      <c r="N43" t="s">
        <v>118</v>
      </c>
      <c r="O43" t="s">
        <v>118</v>
      </c>
      <c r="P43" t="s">
        <v>117</v>
      </c>
      <c r="Q43" t="s">
        <v>117</v>
      </c>
      <c r="R43" t="s">
        <v>414</v>
      </c>
      <c r="S43" t="s">
        <v>415</v>
      </c>
      <c r="T43" t="s">
        <v>121</v>
      </c>
      <c r="U43" t="s">
        <v>122</v>
      </c>
      <c r="V43" t="s">
        <v>416</v>
      </c>
      <c r="W43" t="s">
        <v>135</v>
      </c>
      <c r="X43" t="s">
        <v>417</v>
      </c>
      <c r="Y43" t="s">
        <v>418</v>
      </c>
      <c r="Z43">
        <v>73823</v>
      </c>
      <c r="AA43">
        <v>73823</v>
      </c>
      <c r="AB43">
        <v>0</v>
      </c>
      <c r="AC43">
        <v>29529</v>
      </c>
      <c r="AD43">
        <v>29529</v>
      </c>
      <c r="AE43">
        <v>0</v>
      </c>
      <c r="AF43">
        <v>8121</v>
      </c>
      <c r="AG43">
        <v>8121</v>
      </c>
      <c r="AH43">
        <v>0</v>
      </c>
      <c r="AI43">
        <v>0</v>
      </c>
      <c r="AJ43">
        <v>0</v>
      </c>
      <c r="AK43">
        <v>0</v>
      </c>
      <c r="AL43">
        <v>10000</v>
      </c>
      <c r="AM43">
        <v>10000</v>
      </c>
      <c r="AN43">
        <v>0</v>
      </c>
      <c r="AO43">
        <v>2200</v>
      </c>
      <c r="AP43">
        <v>2200</v>
      </c>
      <c r="AQ43">
        <v>0</v>
      </c>
      <c r="AR43">
        <v>52025</v>
      </c>
      <c r="AS43">
        <v>52025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175698</v>
      </c>
      <c r="BI43">
        <v>175698</v>
      </c>
      <c r="BJ43">
        <v>2200</v>
      </c>
      <c r="BK43">
        <v>0</v>
      </c>
      <c r="BL43">
        <v>21572</v>
      </c>
      <c r="BM43">
        <v>200</v>
      </c>
      <c r="BN43">
        <v>0</v>
      </c>
      <c r="BO43">
        <v>0</v>
      </c>
      <c r="BP43">
        <v>8859</v>
      </c>
      <c r="BQ43">
        <v>0</v>
      </c>
      <c r="BR43">
        <v>8859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32831</v>
      </c>
      <c r="CZ43">
        <v>142867</v>
      </c>
      <c r="DA43" t="s">
        <v>118</v>
      </c>
      <c r="DB43" t="s">
        <v>118</v>
      </c>
      <c r="DC43">
        <v>142867</v>
      </c>
      <c r="DE43">
        <v>142867</v>
      </c>
      <c r="DF43">
        <f t="shared" si="0"/>
        <v>0</v>
      </c>
    </row>
    <row r="44" spans="1:111">
      <c r="A44" t="s">
        <v>419</v>
      </c>
      <c r="B44" t="s">
        <v>420</v>
      </c>
      <c r="C44" t="s">
        <v>140</v>
      </c>
      <c r="D44" t="s">
        <v>421</v>
      </c>
      <c r="E44" t="s">
        <v>113</v>
      </c>
      <c r="F44" t="s">
        <v>114</v>
      </c>
      <c r="G44" t="s">
        <v>115</v>
      </c>
      <c r="H44" t="s">
        <v>113</v>
      </c>
      <c r="I44" t="s">
        <v>116</v>
      </c>
      <c r="J44" t="s">
        <v>117</v>
      </c>
      <c r="K44" t="s">
        <v>118</v>
      </c>
      <c r="L44" t="s">
        <v>118</v>
      </c>
      <c r="M44" t="s">
        <v>113</v>
      </c>
      <c r="N44" t="s">
        <v>118</v>
      </c>
      <c r="O44" t="s">
        <v>118</v>
      </c>
      <c r="P44" t="s">
        <v>117</v>
      </c>
      <c r="Q44" t="s">
        <v>117</v>
      </c>
      <c r="R44" t="s">
        <v>422</v>
      </c>
      <c r="S44" t="s">
        <v>143</v>
      </c>
      <c r="T44" t="s">
        <v>121</v>
      </c>
      <c r="U44" t="s">
        <v>122</v>
      </c>
      <c r="V44" t="s">
        <v>423</v>
      </c>
      <c r="W44" t="s">
        <v>135</v>
      </c>
      <c r="X44" t="s">
        <v>376</v>
      </c>
      <c r="Y44" t="s">
        <v>424</v>
      </c>
      <c r="Z44">
        <v>14080</v>
      </c>
      <c r="AA44">
        <v>14080</v>
      </c>
      <c r="AB44">
        <v>0</v>
      </c>
      <c r="AC44">
        <v>5632</v>
      </c>
      <c r="AD44">
        <v>5632</v>
      </c>
      <c r="AE44">
        <v>0</v>
      </c>
      <c r="AF44">
        <v>1549</v>
      </c>
      <c r="AG44">
        <v>1549</v>
      </c>
      <c r="AH44">
        <v>0</v>
      </c>
      <c r="AI44">
        <v>0</v>
      </c>
      <c r="AJ44">
        <v>0</v>
      </c>
      <c r="AK44">
        <v>0</v>
      </c>
      <c r="AL44">
        <v>3520</v>
      </c>
      <c r="AM44">
        <v>3520</v>
      </c>
      <c r="AN44">
        <v>0</v>
      </c>
      <c r="AO44">
        <v>0</v>
      </c>
      <c r="AP44">
        <v>0</v>
      </c>
      <c r="AQ44">
        <v>0</v>
      </c>
      <c r="AR44">
        <v>8619</v>
      </c>
      <c r="AS44">
        <v>8619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33400</v>
      </c>
      <c r="BI44">
        <v>33400</v>
      </c>
      <c r="BJ44">
        <v>0</v>
      </c>
      <c r="BK44">
        <v>0</v>
      </c>
      <c r="BL44">
        <v>0</v>
      </c>
      <c r="BM44">
        <v>200</v>
      </c>
      <c r="BN44">
        <v>0</v>
      </c>
      <c r="BO44">
        <v>0</v>
      </c>
      <c r="BP44">
        <v>1800</v>
      </c>
      <c r="BQ44">
        <v>0</v>
      </c>
      <c r="BR44">
        <v>1800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2000</v>
      </c>
      <c r="CZ44">
        <v>31400</v>
      </c>
      <c r="DA44" t="s">
        <v>118</v>
      </c>
      <c r="DB44" t="s">
        <v>118</v>
      </c>
      <c r="DC44">
        <v>31400</v>
      </c>
      <c r="DE44">
        <v>31400</v>
      </c>
      <c r="DF44">
        <f t="shared" si="0"/>
        <v>0</v>
      </c>
    </row>
    <row r="45" spans="1:111">
      <c r="A45" t="s">
        <v>425</v>
      </c>
      <c r="B45" t="s">
        <v>426</v>
      </c>
      <c r="C45" t="s">
        <v>111</v>
      </c>
      <c r="D45" t="s">
        <v>427</v>
      </c>
      <c r="E45" t="s">
        <v>113</v>
      </c>
      <c r="F45" t="s">
        <v>114</v>
      </c>
      <c r="G45" t="s">
        <v>115</v>
      </c>
      <c r="H45" t="s">
        <v>113</v>
      </c>
      <c r="I45" t="s">
        <v>116</v>
      </c>
      <c r="J45" t="s">
        <v>117</v>
      </c>
      <c r="K45" t="s">
        <v>118</v>
      </c>
      <c r="L45" t="s">
        <v>118</v>
      </c>
      <c r="M45" t="s">
        <v>113</v>
      </c>
      <c r="N45" t="s">
        <v>199</v>
      </c>
      <c r="O45" t="s">
        <v>118</v>
      </c>
      <c r="P45" t="s">
        <v>117</v>
      </c>
      <c r="Q45" t="s">
        <v>117</v>
      </c>
      <c r="R45" t="s">
        <v>428</v>
      </c>
      <c r="S45" t="s">
        <v>120</v>
      </c>
      <c r="T45" t="s">
        <v>121</v>
      </c>
      <c r="U45" t="s">
        <v>122</v>
      </c>
      <c r="V45" t="s">
        <v>429</v>
      </c>
      <c r="W45" t="s">
        <v>135</v>
      </c>
      <c r="X45" t="s">
        <v>430</v>
      </c>
      <c r="Y45" t="s">
        <v>431</v>
      </c>
      <c r="Z45">
        <v>32854</v>
      </c>
      <c r="AA45">
        <v>32854</v>
      </c>
      <c r="AB45">
        <v>2028</v>
      </c>
      <c r="AC45">
        <v>13141</v>
      </c>
      <c r="AD45">
        <v>13141</v>
      </c>
      <c r="AE45">
        <v>811</v>
      </c>
      <c r="AF45">
        <v>3614</v>
      </c>
      <c r="AG45">
        <v>3614</v>
      </c>
      <c r="AH45">
        <v>223</v>
      </c>
      <c r="AI45">
        <v>0</v>
      </c>
      <c r="AJ45">
        <v>0</v>
      </c>
      <c r="AK45">
        <v>0</v>
      </c>
      <c r="AL45">
        <v>8213</v>
      </c>
      <c r="AM45">
        <v>8213</v>
      </c>
      <c r="AN45">
        <v>-1489</v>
      </c>
      <c r="AO45">
        <v>0</v>
      </c>
      <c r="AP45">
        <v>0</v>
      </c>
      <c r="AQ45">
        <v>0</v>
      </c>
      <c r="AR45">
        <v>22512</v>
      </c>
      <c r="AS45">
        <v>22512</v>
      </c>
      <c r="AT45">
        <v>3497</v>
      </c>
      <c r="AU45">
        <v>0</v>
      </c>
      <c r="AV45">
        <v>0</v>
      </c>
      <c r="AW45">
        <v>21000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21000</v>
      </c>
      <c r="BH45">
        <v>106404</v>
      </c>
      <c r="BI45">
        <v>106404</v>
      </c>
      <c r="BJ45">
        <v>0</v>
      </c>
      <c r="BK45">
        <v>0</v>
      </c>
      <c r="BL45">
        <v>0</v>
      </c>
      <c r="BM45">
        <v>200</v>
      </c>
      <c r="BN45">
        <v>0</v>
      </c>
      <c r="BO45">
        <v>0</v>
      </c>
      <c r="BP45">
        <v>1800</v>
      </c>
      <c r="BQ45">
        <v>0</v>
      </c>
      <c r="BR45">
        <v>1800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2000</v>
      </c>
      <c r="CZ45">
        <v>104404</v>
      </c>
      <c r="DA45" t="s">
        <v>118</v>
      </c>
      <c r="DB45" t="s">
        <v>118</v>
      </c>
      <c r="DC45">
        <v>104404</v>
      </c>
      <c r="DE45">
        <v>95250</v>
      </c>
      <c r="DF45">
        <f t="shared" si="0"/>
        <v>9154</v>
      </c>
      <c r="DG45" t="s">
        <v>432</v>
      </c>
    </row>
    <row r="46" spans="1:111">
      <c r="A46" t="s">
        <v>433</v>
      </c>
      <c r="B46" t="s">
        <v>434</v>
      </c>
      <c r="C46" t="s">
        <v>328</v>
      </c>
      <c r="D46" t="s">
        <v>435</v>
      </c>
      <c r="E46" t="s">
        <v>113</v>
      </c>
      <c r="F46" t="s">
        <v>114</v>
      </c>
      <c r="G46" t="s">
        <v>115</v>
      </c>
      <c r="H46" t="s">
        <v>113</v>
      </c>
      <c r="I46" t="s">
        <v>116</v>
      </c>
      <c r="J46" t="s">
        <v>117</v>
      </c>
      <c r="K46" t="s">
        <v>118</v>
      </c>
      <c r="L46" t="s">
        <v>118</v>
      </c>
      <c r="M46" t="s">
        <v>113</v>
      </c>
      <c r="N46" t="s">
        <v>118</v>
      </c>
      <c r="O46" t="s">
        <v>118</v>
      </c>
      <c r="P46" t="s">
        <v>117</v>
      </c>
      <c r="Q46" t="s">
        <v>117</v>
      </c>
      <c r="R46" t="s">
        <v>279</v>
      </c>
      <c r="S46" t="s">
        <v>169</v>
      </c>
      <c r="T46" t="s">
        <v>121</v>
      </c>
      <c r="U46" t="s">
        <v>122</v>
      </c>
      <c r="V46" t="s">
        <v>436</v>
      </c>
      <c r="W46" t="s">
        <v>135</v>
      </c>
      <c r="X46" t="s">
        <v>437</v>
      </c>
      <c r="Y46" t="s">
        <v>438</v>
      </c>
      <c r="Z46">
        <v>30223</v>
      </c>
      <c r="AA46">
        <v>30223</v>
      </c>
      <c r="AB46">
        <v>0</v>
      </c>
      <c r="AC46">
        <v>12089</v>
      </c>
      <c r="AD46">
        <v>12089</v>
      </c>
      <c r="AE46">
        <v>0</v>
      </c>
      <c r="AF46">
        <v>3325</v>
      </c>
      <c r="AG46">
        <v>3325</v>
      </c>
      <c r="AH46">
        <v>0</v>
      </c>
      <c r="AI46">
        <v>0</v>
      </c>
      <c r="AJ46">
        <v>0</v>
      </c>
      <c r="AK46">
        <v>0</v>
      </c>
      <c r="AL46">
        <v>7556</v>
      </c>
      <c r="AM46">
        <v>7556</v>
      </c>
      <c r="AN46">
        <v>0</v>
      </c>
      <c r="AO46">
        <v>0</v>
      </c>
      <c r="AP46">
        <v>0</v>
      </c>
      <c r="AQ46">
        <v>0</v>
      </c>
      <c r="AR46">
        <v>18738</v>
      </c>
      <c r="AS46">
        <v>18738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71931</v>
      </c>
      <c r="BI46">
        <v>71931</v>
      </c>
      <c r="BJ46">
        <v>0</v>
      </c>
      <c r="BK46">
        <v>0</v>
      </c>
      <c r="BL46">
        <v>0</v>
      </c>
      <c r="BM46">
        <v>200</v>
      </c>
      <c r="BN46">
        <v>0</v>
      </c>
      <c r="BO46">
        <v>0</v>
      </c>
      <c r="BP46">
        <v>3627</v>
      </c>
      <c r="BQ46">
        <v>0</v>
      </c>
      <c r="BR46">
        <v>3627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3827</v>
      </c>
      <c r="CZ46">
        <v>68104</v>
      </c>
      <c r="DA46" t="s">
        <v>118</v>
      </c>
      <c r="DB46" t="s">
        <v>118</v>
      </c>
      <c r="DC46">
        <v>68104</v>
      </c>
      <c r="DE46">
        <v>68104</v>
      </c>
      <c r="DF46">
        <f t="shared" si="0"/>
        <v>0</v>
      </c>
    </row>
    <row r="47" spans="1:111">
      <c r="A47" t="s">
        <v>439</v>
      </c>
      <c r="B47" t="s">
        <v>440</v>
      </c>
      <c r="C47" t="s">
        <v>158</v>
      </c>
      <c r="D47" t="s">
        <v>441</v>
      </c>
      <c r="E47" t="s">
        <v>113</v>
      </c>
      <c r="F47" t="s">
        <v>114</v>
      </c>
      <c r="G47" t="s">
        <v>115</v>
      </c>
      <c r="H47" t="s">
        <v>113</v>
      </c>
      <c r="I47" t="s">
        <v>116</v>
      </c>
      <c r="J47" t="s">
        <v>117</v>
      </c>
      <c r="K47" t="s">
        <v>118</v>
      </c>
      <c r="L47" t="s">
        <v>118</v>
      </c>
      <c r="M47" t="s">
        <v>113</v>
      </c>
      <c r="N47" t="s">
        <v>118</v>
      </c>
      <c r="O47" t="s">
        <v>118</v>
      </c>
      <c r="P47" t="s">
        <v>117</v>
      </c>
      <c r="Q47" t="s">
        <v>117</v>
      </c>
      <c r="R47" t="s">
        <v>442</v>
      </c>
      <c r="S47" t="s">
        <v>443</v>
      </c>
      <c r="T47" t="s">
        <v>121</v>
      </c>
      <c r="U47" t="s">
        <v>122</v>
      </c>
      <c r="V47" t="s">
        <v>444</v>
      </c>
      <c r="W47" t="s">
        <v>135</v>
      </c>
      <c r="X47" t="s">
        <v>445</v>
      </c>
      <c r="Y47" t="s">
        <v>446</v>
      </c>
      <c r="Z47">
        <v>36458</v>
      </c>
      <c r="AA47">
        <v>36458</v>
      </c>
      <c r="AB47">
        <v>0</v>
      </c>
      <c r="AC47">
        <v>14583</v>
      </c>
      <c r="AD47">
        <v>14583</v>
      </c>
      <c r="AE47">
        <v>0</v>
      </c>
      <c r="AF47">
        <v>4010</v>
      </c>
      <c r="AG47">
        <v>4010</v>
      </c>
      <c r="AH47">
        <v>0</v>
      </c>
      <c r="AI47">
        <v>0</v>
      </c>
      <c r="AJ47">
        <v>0</v>
      </c>
      <c r="AK47">
        <v>0</v>
      </c>
      <c r="AL47">
        <v>9115</v>
      </c>
      <c r="AM47">
        <v>9115</v>
      </c>
      <c r="AN47">
        <v>0</v>
      </c>
      <c r="AO47">
        <v>0</v>
      </c>
      <c r="AP47">
        <v>0</v>
      </c>
      <c r="AQ47">
        <v>0</v>
      </c>
      <c r="AR47">
        <v>25179</v>
      </c>
      <c r="AS47">
        <v>25179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89345</v>
      </c>
      <c r="BI47">
        <v>89345</v>
      </c>
      <c r="BJ47">
        <v>0</v>
      </c>
      <c r="BK47">
        <v>0</v>
      </c>
      <c r="BL47">
        <v>0</v>
      </c>
      <c r="BM47">
        <v>200</v>
      </c>
      <c r="BN47">
        <v>0</v>
      </c>
      <c r="BO47">
        <v>0</v>
      </c>
      <c r="BP47">
        <v>1800</v>
      </c>
      <c r="BQ47">
        <v>0</v>
      </c>
      <c r="BR47">
        <v>1800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2000</v>
      </c>
      <c r="CZ47">
        <v>87345</v>
      </c>
      <c r="DA47" t="s">
        <v>118</v>
      </c>
      <c r="DB47" t="s">
        <v>118</v>
      </c>
      <c r="DC47">
        <v>87345</v>
      </c>
      <c r="DE47">
        <v>87345</v>
      </c>
      <c r="DF47">
        <f t="shared" si="0"/>
        <v>0</v>
      </c>
    </row>
    <row r="48" spans="1:111">
      <c r="A48" t="s">
        <v>447</v>
      </c>
      <c r="B48" t="s">
        <v>448</v>
      </c>
      <c r="C48" t="s">
        <v>158</v>
      </c>
      <c r="D48" t="s">
        <v>441</v>
      </c>
      <c r="E48" t="s">
        <v>113</v>
      </c>
      <c r="F48" t="s">
        <v>114</v>
      </c>
      <c r="G48" t="s">
        <v>115</v>
      </c>
      <c r="H48" t="s">
        <v>113</v>
      </c>
      <c r="I48" t="s">
        <v>116</v>
      </c>
      <c r="J48" t="s">
        <v>117</v>
      </c>
      <c r="K48" t="s">
        <v>118</v>
      </c>
      <c r="L48" t="s">
        <v>118</v>
      </c>
      <c r="M48" t="s">
        <v>113</v>
      </c>
      <c r="N48" t="s">
        <v>118</v>
      </c>
      <c r="O48" t="s">
        <v>118</v>
      </c>
      <c r="P48" t="s">
        <v>117</v>
      </c>
      <c r="Q48" t="s">
        <v>117</v>
      </c>
      <c r="R48" t="s">
        <v>442</v>
      </c>
      <c r="S48" t="s">
        <v>443</v>
      </c>
      <c r="T48" t="s">
        <v>121</v>
      </c>
      <c r="U48" t="s">
        <v>122</v>
      </c>
      <c r="V48" t="s">
        <v>449</v>
      </c>
      <c r="W48" t="s">
        <v>135</v>
      </c>
      <c r="X48" t="s">
        <v>450</v>
      </c>
      <c r="Y48" t="s">
        <v>451</v>
      </c>
      <c r="Z48">
        <v>27106</v>
      </c>
      <c r="AA48">
        <v>27106</v>
      </c>
      <c r="AB48">
        <v>0</v>
      </c>
      <c r="AC48">
        <v>10842</v>
      </c>
      <c r="AD48">
        <v>10842</v>
      </c>
      <c r="AE48">
        <v>0</v>
      </c>
      <c r="AF48">
        <v>2982</v>
      </c>
      <c r="AG48">
        <v>2982</v>
      </c>
      <c r="AH48">
        <v>0</v>
      </c>
      <c r="AI48">
        <v>0</v>
      </c>
      <c r="AJ48">
        <v>0</v>
      </c>
      <c r="AK48">
        <v>0</v>
      </c>
      <c r="AL48">
        <v>6776</v>
      </c>
      <c r="AM48">
        <v>6776</v>
      </c>
      <c r="AN48">
        <v>0</v>
      </c>
      <c r="AO48">
        <v>0</v>
      </c>
      <c r="AP48">
        <v>0</v>
      </c>
      <c r="AQ48">
        <v>0</v>
      </c>
      <c r="AR48">
        <v>18258</v>
      </c>
      <c r="AS48">
        <v>18258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65964</v>
      </c>
      <c r="BI48">
        <v>65964</v>
      </c>
      <c r="BJ48">
        <v>0</v>
      </c>
      <c r="BK48">
        <v>0</v>
      </c>
      <c r="BL48">
        <v>0</v>
      </c>
      <c r="BM48">
        <v>200</v>
      </c>
      <c r="BN48">
        <v>0</v>
      </c>
      <c r="BO48">
        <v>0</v>
      </c>
      <c r="BP48">
        <v>1800</v>
      </c>
      <c r="BQ48">
        <v>0</v>
      </c>
      <c r="BR48">
        <v>1800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2000</v>
      </c>
      <c r="CZ48">
        <v>63964</v>
      </c>
      <c r="DA48" t="s">
        <v>118</v>
      </c>
      <c r="DB48" t="s">
        <v>118</v>
      </c>
      <c r="DC48">
        <v>63964</v>
      </c>
      <c r="DE48">
        <v>63964</v>
      </c>
      <c r="DF48">
        <f t="shared" si="0"/>
        <v>0</v>
      </c>
    </row>
    <row r="49" spans="1:111">
      <c r="A49" t="s">
        <v>452</v>
      </c>
      <c r="B49" t="s">
        <v>453</v>
      </c>
      <c r="C49" t="s">
        <v>158</v>
      </c>
      <c r="D49" t="s">
        <v>441</v>
      </c>
      <c r="E49" s="4">
        <v>45982</v>
      </c>
      <c r="F49" t="s">
        <v>114</v>
      </c>
      <c r="G49" t="s">
        <v>115</v>
      </c>
      <c r="H49" t="s">
        <v>113</v>
      </c>
      <c r="I49" s="3" t="s">
        <v>309</v>
      </c>
      <c r="J49" t="s">
        <v>117</v>
      </c>
      <c r="K49" t="s">
        <v>118</v>
      </c>
      <c r="L49" t="s">
        <v>118</v>
      </c>
      <c r="M49" t="s">
        <v>113</v>
      </c>
      <c r="N49" t="s">
        <v>118</v>
      </c>
      <c r="O49" t="s">
        <v>118</v>
      </c>
      <c r="P49" t="s">
        <v>454</v>
      </c>
      <c r="Q49" t="s">
        <v>454</v>
      </c>
      <c r="R49" t="s">
        <v>442</v>
      </c>
      <c r="S49" t="s">
        <v>443</v>
      </c>
      <c r="T49" t="s">
        <v>121</v>
      </c>
      <c r="U49" t="s">
        <v>122</v>
      </c>
      <c r="V49" t="s">
        <v>455</v>
      </c>
      <c r="W49" t="s">
        <v>135</v>
      </c>
      <c r="X49" t="s">
        <v>450</v>
      </c>
      <c r="Y49" t="s">
        <v>456</v>
      </c>
      <c r="Z49">
        <v>27106</v>
      </c>
      <c r="AA49">
        <v>23608</v>
      </c>
      <c r="AB49">
        <v>0</v>
      </c>
      <c r="AC49">
        <v>10842</v>
      </c>
      <c r="AD49">
        <v>9443</v>
      </c>
      <c r="AE49">
        <v>0</v>
      </c>
      <c r="AF49">
        <v>2982</v>
      </c>
      <c r="AG49">
        <v>2597</v>
      </c>
      <c r="AH49">
        <v>0</v>
      </c>
      <c r="AI49">
        <v>0</v>
      </c>
      <c r="AJ49">
        <v>0</v>
      </c>
      <c r="AK49">
        <v>0</v>
      </c>
      <c r="AL49">
        <v>6776</v>
      </c>
      <c r="AM49">
        <v>5902</v>
      </c>
      <c r="AN49">
        <v>0</v>
      </c>
      <c r="AO49">
        <v>0</v>
      </c>
      <c r="AP49">
        <v>0</v>
      </c>
      <c r="AQ49">
        <v>0</v>
      </c>
      <c r="AR49">
        <v>18258</v>
      </c>
      <c r="AS49">
        <v>15902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57452</v>
      </c>
      <c r="BI49">
        <v>57452</v>
      </c>
      <c r="BJ49">
        <v>0</v>
      </c>
      <c r="BK49">
        <v>0</v>
      </c>
      <c r="BL49">
        <v>0</v>
      </c>
      <c r="BM49">
        <v>200</v>
      </c>
      <c r="BN49">
        <v>0</v>
      </c>
      <c r="BO49">
        <v>0</v>
      </c>
      <c r="BP49">
        <v>1800</v>
      </c>
      <c r="BQ49">
        <v>0</v>
      </c>
      <c r="BR49">
        <v>1800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2000</v>
      </c>
      <c r="CZ49">
        <v>55452</v>
      </c>
      <c r="DA49" t="s">
        <v>118</v>
      </c>
      <c r="DB49" t="s">
        <v>118</v>
      </c>
      <c r="DC49">
        <v>55452</v>
      </c>
      <c r="DE49">
        <v>63964</v>
      </c>
      <c r="DF49">
        <f t="shared" si="0"/>
        <v>-8512</v>
      </c>
      <c r="DG49" t="s">
        <v>457</v>
      </c>
    </row>
    <row r="50" spans="1:111">
      <c r="A50" t="s">
        <v>458</v>
      </c>
      <c r="B50" t="s">
        <v>459</v>
      </c>
      <c r="C50" t="s">
        <v>158</v>
      </c>
      <c r="D50" t="s">
        <v>441</v>
      </c>
      <c r="E50" t="s">
        <v>113</v>
      </c>
      <c r="F50" t="s">
        <v>114</v>
      </c>
      <c r="G50" t="s">
        <v>115</v>
      </c>
      <c r="H50" t="s">
        <v>113</v>
      </c>
      <c r="I50" t="s">
        <v>116</v>
      </c>
      <c r="J50" t="s">
        <v>117</v>
      </c>
      <c r="K50" t="s">
        <v>118</v>
      </c>
      <c r="L50" t="s">
        <v>118</v>
      </c>
      <c r="M50" t="s">
        <v>113</v>
      </c>
      <c r="N50" t="s">
        <v>118</v>
      </c>
      <c r="O50" t="s">
        <v>118</v>
      </c>
      <c r="P50" t="s">
        <v>117</v>
      </c>
      <c r="Q50" t="s">
        <v>117</v>
      </c>
      <c r="R50" t="s">
        <v>442</v>
      </c>
      <c r="S50" t="s">
        <v>443</v>
      </c>
      <c r="T50" t="s">
        <v>121</v>
      </c>
      <c r="U50" t="s">
        <v>122</v>
      </c>
      <c r="V50" t="s">
        <v>460</v>
      </c>
      <c r="W50" t="s">
        <v>135</v>
      </c>
      <c r="X50" t="s">
        <v>450</v>
      </c>
      <c r="Y50" t="s">
        <v>461</v>
      </c>
      <c r="Z50">
        <v>27106</v>
      </c>
      <c r="AA50">
        <v>27106</v>
      </c>
      <c r="AB50">
        <v>0</v>
      </c>
      <c r="AC50">
        <v>10842</v>
      </c>
      <c r="AD50">
        <v>10842</v>
      </c>
      <c r="AE50">
        <v>0</v>
      </c>
      <c r="AF50">
        <v>2982</v>
      </c>
      <c r="AG50">
        <v>2982</v>
      </c>
      <c r="AH50">
        <v>0</v>
      </c>
      <c r="AI50">
        <v>0</v>
      </c>
      <c r="AJ50">
        <v>0</v>
      </c>
      <c r="AK50">
        <v>0</v>
      </c>
      <c r="AL50">
        <v>6776</v>
      </c>
      <c r="AM50">
        <v>6776</v>
      </c>
      <c r="AN50">
        <v>0</v>
      </c>
      <c r="AO50">
        <v>0</v>
      </c>
      <c r="AP50">
        <v>0</v>
      </c>
      <c r="AQ50">
        <v>0</v>
      </c>
      <c r="AR50">
        <v>18258</v>
      </c>
      <c r="AS50">
        <v>18258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65964</v>
      </c>
      <c r="BI50">
        <v>65964</v>
      </c>
      <c r="BJ50">
        <v>0</v>
      </c>
      <c r="BK50">
        <v>0</v>
      </c>
      <c r="BL50">
        <v>0</v>
      </c>
      <c r="BM50">
        <v>200</v>
      </c>
      <c r="BN50">
        <v>0</v>
      </c>
      <c r="BO50">
        <v>0</v>
      </c>
      <c r="BP50">
        <v>1800</v>
      </c>
      <c r="BQ50">
        <v>0</v>
      </c>
      <c r="BR50">
        <v>1800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2000</v>
      </c>
      <c r="CZ50">
        <v>63964</v>
      </c>
      <c r="DA50" t="s">
        <v>118</v>
      </c>
      <c r="DB50" t="s">
        <v>118</v>
      </c>
      <c r="DC50">
        <v>63964</v>
      </c>
      <c r="DE50">
        <v>63964</v>
      </c>
      <c r="DF50">
        <f t="shared" si="0"/>
        <v>0</v>
      </c>
    </row>
    <row r="51" spans="1:111">
      <c r="A51" t="s">
        <v>462</v>
      </c>
      <c r="B51" t="s">
        <v>463</v>
      </c>
      <c r="C51" t="s">
        <v>328</v>
      </c>
      <c r="D51" t="s">
        <v>441</v>
      </c>
      <c r="E51" t="s">
        <v>113</v>
      </c>
      <c r="F51" t="s">
        <v>114</v>
      </c>
      <c r="G51" t="s">
        <v>115</v>
      </c>
      <c r="H51" t="s">
        <v>113</v>
      </c>
      <c r="I51" t="s">
        <v>116</v>
      </c>
      <c r="J51" t="s">
        <v>117</v>
      </c>
      <c r="K51" t="s">
        <v>118</v>
      </c>
      <c r="L51" t="s">
        <v>118</v>
      </c>
      <c r="M51" t="s">
        <v>113</v>
      </c>
      <c r="N51" t="s">
        <v>118</v>
      </c>
      <c r="O51" t="s">
        <v>118</v>
      </c>
      <c r="P51" t="s">
        <v>117</v>
      </c>
      <c r="Q51" t="s">
        <v>117</v>
      </c>
      <c r="R51" t="s">
        <v>279</v>
      </c>
      <c r="S51" t="s">
        <v>169</v>
      </c>
      <c r="T51" t="s">
        <v>121</v>
      </c>
      <c r="U51" t="s">
        <v>122</v>
      </c>
      <c r="V51" t="s">
        <v>464</v>
      </c>
      <c r="W51" t="s">
        <v>135</v>
      </c>
      <c r="X51" t="s">
        <v>465</v>
      </c>
      <c r="Y51" t="s">
        <v>466</v>
      </c>
      <c r="Z51">
        <v>38017</v>
      </c>
      <c r="AA51">
        <v>38017</v>
      </c>
      <c r="AB51">
        <v>0</v>
      </c>
      <c r="AC51">
        <v>15207</v>
      </c>
      <c r="AD51">
        <v>15207</v>
      </c>
      <c r="AE51">
        <v>0</v>
      </c>
      <c r="AF51">
        <v>4182</v>
      </c>
      <c r="AG51">
        <v>4182</v>
      </c>
      <c r="AH51">
        <v>0</v>
      </c>
      <c r="AI51">
        <v>0</v>
      </c>
      <c r="AJ51">
        <v>0</v>
      </c>
      <c r="AK51">
        <v>0</v>
      </c>
      <c r="AL51">
        <v>9504</v>
      </c>
      <c r="AM51">
        <v>9504</v>
      </c>
      <c r="AN51">
        <v>0</v>
      </c>
      <c r="AO51">
        <v>0</v>
      </c>
      <c r="AP51">
        <v>0</v>
      </c>
      <c r="AQ51">
        <v>0</v>
      </c>
      <c r="AR51">
        <v>26332</v>
      </c>
      <c r="AS51">
        <v>26332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93242</v>
      </c>
      <c r="BI51">
        <v>93242</v>
      </c>
      <c r="BJ51">
        <v>0</v>
      </c>
      <c r="BK51">
        <v>0</v>
      </c>
      <c r="BL51">
        <v>0</v>
      </c>
      <c r="BM51">
        <v>200</v>
      </c>
      <c r="BN51">
        <v>0</v>
      </c>
      <c r="BO51">
        <v>0</v>
      </c>
      <c r="BP51">
        <v>1800</v>
      </c>
      <c r="BQ51">
        <v>0</v>
      </c>
      <c r="BR51">
        <v>1800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2000</v>
      </c>
      <c r="CZ51">
        <v>91242</v>
      </c>
      <c r="DA51" t="s">
        <v>118</v>
      </c>
      <c r="DB51" t="s">
        <v>118</v>
      </c>
      <c r="DC51">
        <v>91242</v>
      </c>
      <c r="DE51">
        <v>91242</v>
      </c>
      <c r="DF51">
        <f t="shared" si="0"/>
        <v>0</v>
      </c>
    </row>
    <row r="52" spans="1:111">
      <c r="A52" t="s">
        <v>467</v>
      </c>
      <c r="B52" t="s">
        <v>468</v>
      </c>
      <c r="C52" t="s">
        <v>158</v>
      </c>
      <c r="D52" t="s">
        <v>441</v>
      </c>
      <c r="E52" t="s">
        <v>113</v>
      </c>
      <c r="F52" t="s">
        <v>114</v>
      </c>
      <c r="G52" t="s">
        <v>115</v>
      </c>
      <c r="H52" t="s">
        <v>113</v>
      </c>
      <c r="I52" t="s">
        <v>116</v>
      </c>
      <c r="J52" t="s">
        <v>117</v>
      </c>
      <c r="K52" t="s">
        <v>118</v>
      </c>
      <c r="L52" t="s">
        <v>118</v>
      </c>
      <c r="M52" t="s">
        <v>113</v>
      </c>
      <c r="N52" t="s">
        <v>118</v>
      </c>
      <c r="O52" t="s">
        <v>118</v>
      </c>
      <c r="P52" t="s">
        <v>117</v>
      </c>
      <c r="Q52" t="s">
        <v>117</v>
      </c>
      <c r="R52" t="s">
        <v>442</v>
      </c>
      <c r="S52" t="s">
        <v>443</v>
      </c>
      <c r="T52" t="s">
        <v>121</v>
      </c>
      <c r="U52" t="s">
        <v>122</v>
      </c>
      <c r="V52" t="s">
        <v>469</v>
      </c>
      <c r="W52" t="s">
        <v>135</v>
      </c>
      <c r="X52" t="s">
        <v>470</v>
      </c>
      <c r="Y52" t="s">
        <v>471</v>
      </c>
      <c r="Z52">
        <v>30223</v>
      </c>
      <c r="AA52">
        <v>30223</v>
      </c>
      <c r="AB52">
        <v>0</v>
      </c>
      <c r="AC52">
        <v>12089</v>
      </c>
      <c r="AD52">
        <v>12089</v>
      </c>
      <c r="AE52">
        <v>0</v>
      </c>
      <c r="AF52">
        <v>3325</v>
      </c>
      <c r="AG52">
        <v>3325</v>
      </c>
      <c r="AH52">
        <v>0</v>
      </c>
      <c r="AI52">
        <v>0</v>
      </c>
      <c r="AJ52">
        <v>0</v>
      </c>
      <c r="AK52">
        <v>0</v>
      </c>
      <c r="AL52">
        <v>7556</v>
      </c>
      <c r="AM52">
        <v>7556</v>
      </c>
      <c r="AN52">
        <v>0</v>
      </c>
      <c r="AO52">
        <v>0</v>
      </c>
      <c r="AP52">
        <v>0</v>
      </c>
      <c r="AQ52">
        <v>0</v>
      </c>
      <c r="AR52">
        <v>20565</v>
      </c>
      <c r="AS52">
        <v>20565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73758</v>
      </c>
      <c r="BI52">
        <v>73758</v>
      </c>
      <c r="BJ52">
        <v>0</v>
      </c>
      <c r="BK52">
        <v>0</v>
      </c>
      <c r="BL52">
        <v>0</v>
      </c>
      <c r="BM52">
        <v>200</v>
      </c>
      <c r="BN52">
        <v>0</v>
      </c>
      <c r="BO52">
        <v>0</v>
      </c>
      <c r="BP52">
        <v>1800</v>
      </c>
      <c r="BQ52">
        <v>0</v>
      </c>
      <c r="BR52">
        <v>1800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2000</v>
      </c>
      <c r="CZ52">
        <v>71758</v>
      </c>
      <c r="DA52" t="s">
        <v>118</v>
      </c>
      <c r="DB52" t="s">
        <v>118</v>
      </c>
      <c r="DC52">
        <v>71758</v>
      </c>
      <c r="DE52">
        <v>71758</v>
      </c>
      <c r="DF52">
        <f t="shared" si="0"/>
        <v>0</v>
      </c>
    </row>
    <row r="53" spans="1:111">
      <c r="A53" t="s">
        <v>472</v>
      </c>
      <c r="B53" t="s">
        <v>473</v>
      </c>
      <c r="C53" t="s">
        <v>328</v>
      </c>
      <c r="D53" t="s">
        <v>441</v>
      </c>
      <c r="E53" t="s">
        <v>113</v>
      </c>
      <c r="F53" t="s">
        <v>114</v>
      </c>
      <c r="G53" t="s">
        <v>115</v>
      </c>
      <c r="H53" t="s">
        <v>113</v>
      </c>
      <c r="I53" t="s">
        <v>116</v>
      </c>
      <c r="J53" t="s">
        <v>117</v>
      </c>
      <c r="K53" t="s">
        <v>118</v>
      </c>
      <c r="L53" t="s">
        <v>118</v>
      </c>
      <c r="M53" t="s">
        <v>113</v>
      </c>
      <c r="N53" t="s">
        <v>118</v>
      </c>
      <c r="O53" t="s">
        <v>118</v>
      </c>
      <c r="P53" t="s">
        <v>117</v>
      </c>
      <c r="Q53" t="s">
        <v>117</v>
      </c>
      <c r="R53" t="s">
        <v>279</v>
      </c>
      <c r="S53" t="s">
        <v>169</v>
      </c>
      <c r="T53" t="s">
        <v>121</v>
      </c>
      <c r="U53" t="s">
        <v>122</v>
      </c>
      <c r="V53" t="s">
        <v>474</v>
      </c>
      <c r="W53" t="s">
        <v>135</v>
      </c>
      <c r="X53" t="s">
        <v>465</v>
      </c>
      <c r="Y53" t="s">
        <v>475</v>
      </c>
      <c r="Z53">
        <v>38017</v>
      </c>
      <c r="AA53">
        <v>38017</v>
      </c>
      <c r="AB53">
        <v>0</v>
      </c>
      <c r="AC53">
        <v>15207</v>
      </c>
      <c r="AD53">
        <v>15207</v>
      </c>
      <c r="AE53">
        <v>0</v>
      </c>
      <c r="AF53">
        <v>4182</v>
      </c>
      <c r="AG53">
        <v>4182</v>
      </c>
      <c r="AH53">
        <v>0</v>
      </c>
      <c r="AI53">
        <v>0</v>
      </c>
      <c r="AJ53">
        <v>0</v>
      </c>
      <c r="AK53">
        <v>0</v>
      </c>
      <c r="AL53">
        <v>9504</v>
      </c>
      <c r="AM53">
        <v>9504</v>
      </c>
      <c r="AN53">
        <v>0</v>
      </c>
      <c r="AO53">
        <v>0</v>
      </c>
      <c r="AP53">
        <v>0</v>
      </c>
      <c r="AQ53">
        <v>0</v>
      </c>
      <c r="AR53">
        <v>26332</v>
      </c>
      <c r="AS53">
        <v>26332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93242</v>
      </c>
      <c r="BI53">
        <v>93242</v>
      </c>
      <c r="BJ53">
        <v>0</v>
      </c>
      <c r="BK53">
        <v>0</v>
      </c>
      <c r="BL53">
        <v>0</v>
      </c>
      <c r="BM53">
        <v>200</v>
      </c>
      <c r="BN53">
        <v>0</v>
      </c>
      <c r="BO53">
        <v>0</v>
      </c>
      <c r="BP53">
        <v>1800</v>
      </c>
      <c r="BQ53">
        <v>0</v>
      </c>
      <c r="BR53">
        <v>1800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2000</v>
      </c>
      <c r="CZ53">
        <v>91242</v>
      </c>
      <c r="DA53" t="s">
        <v>118</v>
      </c>
      <c r="DB53" t="s">
        <v>118</v>
      </c>
      <c r="DC53">
        <v>91242</v>
      </c>
      <c r="DE53">
        <v>91242</v>
      </c>
      <c r="DF53">
        <f t="shared" si="0"/>
        <v>0</v>
      </c>
    </row>
    <row r="54" spans="1:111">
      <c r="A54" t="s">
        <v>476</v>
      </c>
      <c r="B54" t="s">
        <v>477</v>
      </c>
      <c r="C54" t="s">
        <v>158</v>
      </c>
      <c r="D54" t="s">
        <v>441</v>
      </c>
      <c r="E54" t="s">
        <v>113</v>
      </c>
      <c r="F54" t="s">
        <v>114</v>
      </c>
      <c r="G54" t="s">
        <v>115</v>
      </c>
      <c r="H54" t="s">
        <v>113</v>
      </c>
      <c r="I54" t="s">
        <v>116</v>
      </c>
      <c r="J54" t="s">
        <v>117</v>
      </c>
      <c r="K54" t="s">
        <v>118</v>
      </c>
      <c r="L54" t="s">
        <v>118</v>
      </c>
      <c r="M54" t="s">
        <v>113</v>
      </c>
      <c r="N54" t="s">
        <v>118</v>
      </c>
      <c r="O54" t="s">
        <v>118</v>
      </c>
      <c r="P54" t="s">
        <v>117</v>
      </c>
      <c r="Q54" t="s">
        <v>117</v>
      </c>
      <c r="R54" t="s">
        <v>442</v>
      </c>
      <c r="S54" t="s">
        <v>443</v>
      </c>
      <c r="T54" t="s">
        <v>121</v>
      </c>
      <c r="U54" t="s">
        <v>122</v>
      </c>
      <c r="V54" t="s">
        <v>478</v>
      </c>
      <c r="W54" t="s">
        <v>135</v>
      </c>
      <c r="X54" t="s">
        <v>470</v>
      </c>
      <c r="Y54" t="s">
        <v>479</v>
      </c>
      <c r="Z54">
        <v>30223</v>
      </c>
      <c r="AA54">
        <v>30223</v>
      </c>
      <c r="AB54">
        <v>0</v>
      </c>
      <c r="AC54">
        <v>12089</v>
      </c>
      <c r="AD54">
        <v>12089</v>
      </c>
      <c r="AE54">
        <v>0</v>
      </c>
      <c r="AF54">
        <v>3325</v>
      </c>
      <c r="AG54">
        <v>3325</v>
      </c>
      <c r="AH54">
        <v>0</v>
      </c>
      <c r="AI54">
        <v>0</v>
      </c>
      <c r="AJ54">
        <v>0</v>
      </c>
      <c r="AK54">
        <v>0</v>
      </c>
      <c r="AL54">
        <v>7556</v>
      </c>
      <c r="AM54">
        <v>7556</v>
      </c>
      <c r="AN54">
        <v>0</v>
      </c>
      <c r="AO54">
        <v>0</v>
      </c>
      <c r="AP54">
        <v>0</v>
      </c>
      <c r="AQ54">
        <v>0</v>
      </c>
      <c r="AR54">
        <v>20565</v>
      </c>
      <c r="AS54">
        <v>20565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73758</v>
      </c>
      <c r="BI54">
        <v>73758</v>
      </c>
      <c r="BJ54">
        <v>0</v>
      </c>
      <c r="BK54">
        <v>0</v>
      </c>
      <c r="BL54">
        <v>0</v>
      </c>
      <c r="BM54">
        <v>200</v>
      </c>
      <c r="BN54">
        <v>0</v>
      </c>
      <c r="BO54">
        <v>0</v>
      </c>
      <c r="BP54">
        <v>1800</v>
      </c>
      <c r="BQ54">
        <v>0</v>
      </c>
      <c r="BR54">
        <v>1800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2000</v>
      </c>
      <c r="CZ54">
        <v>71758</v>
      </c>
      <c r="DA54" t="s">
        <v>118</v>
      </c>
      <c r="DB54" t="s">
        <v>118</v>
      </c>
      <c r="DC54">
        <v>71758</v>
      </c>
      <c r="DE54">
        <v>71758</v>
      </c>
      <c r="DF54">
        <f t="shared" si="0"/>
        <v>0</v>
      </c>
    </row>
    <row r="55" spans="1:111">
      <c r="A55" t="s">
        <v>480</v>
      </c>
      <c r="B55" t="s">
        <v>481</v>
      </c>
      <c r="C55" t="s">
        <v>158</v>
      </c>
      <c r="D55" t="s">
        <v>441</v>
      </c>
      <c r="E55" t="s">
        <v>113</v>
      </c>
      <c r="F55" t="s">
        <v>114</v>
      </c>
      <c r="G55" t="s">
        <v>115</v>
      </c>
      <c r="H55" t="s">
        <v>113</v>
      </c>
      <c r="I55" t="s">
        <v>116</v>
      </c>
      <c r="J55" t="s">
        <v>117</v>
      </c>
      <c r="K55" t="s">
        <v>118</v>
      </c>
      <c r="L55" t="s">
        <v>118</v>
      </c>
      <c r="M55" t="s">
        <v>113</v>
      </c>
      <c r="N55" t="s">
        <v>118</v>
      </c>
      <c r="O55" t="s">
        <v>118</v>
      </c>
      <c r="P55" t="s">
        <v>117</v>
      </c>
      <c r="Q55" t="s">
        <v>117</v>
      </c>
      <c r="R55" t="s">
        <v>442</v>
      </c>
      <c r="S55" t="s">
        <v>443</v>
      </c>
      <c r="T55" t="s">
        <v>121</v>
      </c>
      <c r="U55" t="s">
        <v>122</v>
      </c>
      <c r="V55" t="s">
        <v>482</v>
      </c>
      <c r="W55" t="s">
        <v>135</v>
      </c>
      <c r="X55" t="s">
        <v>450</v>
      </c>
      <c r="Y55" t="s">
        <v>483</v>
      </c>
      <c r="Z55">
        <v>27106</v>
      </c>
      <c r="AA55">
        <v>27106</v>
      </c>
      <c r="AB55">
        <v>0</v>
      </c>
      <c r="AC55">
        <v>10842</v>
      </c>
      <c r="AD55">
        <v>10842</v>
      </c>
      <c r="AE55">
        <v>0</v>
      </c>
      <c r="AF55">
        <v>2982</v>
      </c>
      <c r="AG55">
        <v>2982</v>
      </c>
      <c r="AH55">
        <v>0</v>
      </c>
      <c r="AI55">
        <v>0</v>
      </c>
      <c r="AJ55">
        <v>0</v>
      </c>
      <c r="AK55">
        <v>0</v>
      </c>
      <c r="AL55">
        <v>6776</v>
      </c>
      <c r="AM55">
        <v>6776</v>
      </c>
      <c r="AN55">
        <v>0</v>
      </c>
      <c r="AO55">
        <v>0</v>
      </c>
      <c r="AP55">
        <v>0</v>
      </c>
      <c r="AQ55">
        <v>0</v>
      </c>
      <c r="AR55">
        <v>18258</v>
      </c>
      <c r="AS55">
        <v>18258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65964</v>
      </c>
      <c r="BI55">
        <v>65964</v>
      </c>
      <c r="BJ55">
        <v>0</v>
      </c>
      <c r="BK55">
        <v>0</v>
      </c>
      <c r="BL55">
        <v>0</v>
      </c>
      <c r="BM55">
        <v>200</v>
      </c>
      <c r="BN55">
        <v>0</v>
      </c>
      <c r="BO55">
        <v>0</v>
      </c>
      <c r="BP55">
        <v>1800</v>
      </c>
      <c r="BQ55">
        <v>0</v>
      </c>
      <c r="BR55">
        <v>1800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2000</v>
      </c>
      <c r="CZ55">
        <v>63964</v>
      </c>
      <c r="DA55" t="s">
        <v>118</v>
      </c>
      <c r="DB55" t="s">
        <v>118</v>
      </c>
      <c r="DC55">
        <v>63964</v>
      </c>
      <c r="DE55">
        <v>63964</v>
      </c>
      <c r="DF55">
        <f t="shared" si="0"/>
        <v>0</v>
      </c>
    </row>
    <row r="56" spans="1:111">
      <c r="A56" t="s">
        <v>484</v>
      </c>
      <c r="B56" t="s">
        <v>485</v>
      </c>
      <c r="C56" t="s">
        <v>111</v>
      </c>
      <c r="D56" t="s">
        <v>486</v>
      </c>
      <c r="E56" t="s">
        <v>113</v>
      </c>
      <c r="F56" t="s">
        <v>114</v>
      </c>
      <c r="G56" t="s">
        <v>115</v>
      </c>
      <c r="H56" t="s">
        <v>113</v>
      </c>
      <c r="I56" t="s">
        <v>116</v>
      </c>
      <c r="J56" t="s">
        <v>117</v>
      </c>
      <c r="K56" t="s">
        <v>118</v>
      </c>
      <c r="L56" t="s">
        <v>118</v>
      </c>
      <c r="M56" t="s">
        <v>113</v>
      </c>
      <c r="N56" t="s">
        <v>199</v>
      </c>
      <c r="O56" t="s">
        <v>118</v>
      </c>
      <c r="P56" t="s">
        <v>117</v>
      </c>
      <c r="Q56" t="s">
        <v>117</v>
      </c>
      <c r="R56" t="s">
        <v>487</v>
      </c>
      <c r="S56" t="s">
        <v>120</v>
      </c>
      <c r="T56" t="s">
        <v>121</v>
      </c>
      <c r="U56" t="s">
        <v>122</v>
      </c>
      <c r="V56" t="s">
        <v>488</v>
      </c>
      <c r="W56" t="s">
        <v>135</v>
      </c>
      <c r="X56" t="s">
        <v>489</v>
      </c>
      <c r="Y56" t="s">
        <v>490</v>
      </c>
      <c r="Z56">
        <v>164923</v>
      </c>
      <c r="AA56">
        <v>164923</v>
      </c>
      <c r="AB56">
        <v>10181</v>
      </c>
      <c r="AC56">
        <v>65969</v>
      </c>
      <c r="AD56">
        <v>65969</v>
      </c>
      <c r="AE56">
        <v>4072</v>
      </c>
      <c r="AF56">
        <v>18142</v>
      </c>
      <c r="AG56">
        <v>18142</v>
      </c>
      <c r="AH56">
        <v>1120</v>
      </c>
      <c r="AI56">
        <v>0</v>
      </c>
      <c r="AJ56">
        <v>0</v>
      </c>
      <c r="AK56">
        <v>0</v>
      </c>
      <c r="AL56">
        <v>10000</v>
      </c>
      <c r="AM56">
        <v>10000</v>
      </c>
      <c r="AN56">
        <v>0</v>
      </c>
      <c r="AO56">
        <v>2200</v>
      </c>
      <c r="AP56">
        <v>2200</v>
      </c>
      <c r="AQ56">
        <v>0</v>
      </c>
      <c r="AR56">
        <v>131282</v>
      </c>
      <c r="AS56">
        <v>131282</v>
      </c>
      <c r="AT56">
        <v>8857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416746</v>
      </c>
      <c r="BI56">
        <v>416746</v>
      </c>
      <c r="BJ56">
        <v>2200</v>
      </c>
      <c r="BK56">
        <v>0</v>
      </c>
      <c r="BL56">
        <v>85627</v>
      </c>
      <c r="BM56">
        <v>200</v>
      </c>
      <c r="BN56">
        <v>0</v>
      </c>
      <c r="BO56">
        <v>0</v>
      </c>
      <c r="BP56">
        <v>19791</v>
      </c>
      <c r="BQ56">
        <v>1221</v>
      </c>
      <c r="BR56">
        <v>19791</v>
      </c>
      <c r="BS56">
        <v>1221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109039</v>
      </c>
      <c r="CZ56">
        <v>307707</v>
      </c>
      <c r="DA56" t="s">
        <v>118</v>
      </c>
      <c r="DB56" t="s">
        <v>118</v>
      </c>
      <c r="DC56">
        <v>307707</v>
      </c>
      <c r="DE56">
        <v>267672</v>
      </c>
      <c r="DF56">
        <f t="shared" si="0"/>
        <v>40035</v>
      </c>
      <c r="DG56" t="s">
        <v>204</v>
      </c>
    </row>
    <row r="57" spans="1:111">
      <c r="A57" t="s">
        <v>491</v>
      </c>
      <c r="B57" t="s">
        <v>492</v>
      </c>
      <c r="C57" t="s">
        <v>182</v>
      </c>
      <c r="D57" t="s">
        <v>493</v>
      </c>
      <c r="E57" t="s">
        <v>113</v>
      </c>
      <c r="F57" t="s">
        <v>114</v>
      </c>
      <c r="G57" t="s">
        <v>115</v>
      </c>
      <c r="H57" t="s">
        <v>113</v>
      </c>
      <c r="I57" t="s">
        <v>116</v>
      </c>
      <c r="J57" t="s">
        <v>117</v>
      </c>
      <c r="K57" t="s">
        <v>118</v>
      </c>
      <c r="L57" t="s">
        <v>118</v>
      </c>
      <c r="M57" t="s">
        <v>113</v>
      </c>
      <c r="N57" t="s">
        <v>118</v>
      </c>
      <c r="O57" t="s">
        <v>118</v>
      </c>
      <c r="P57" t="s">
        <v>117</v>
      </c>
      <c r="Q57" t="s">
        <v>117</v>
      </c>
      <c r="R57" t="s">
        <v>272</v>
      </c>
      <c r="S57" t="s">
        <v>169</v>
      </c>
      <c r="T57" t="s">
        <v>121</v>
      </c>
      <c r="U57" t="s">
        <v>122</v>
      </c>
      <c r="V57" t="s">
        <v>494</v>
      </c>
      <c r="W57" t="s">
        <v>135</v>
      </c>
      <c r="X57" t="s">
        <v>495</v>
      </c>
      <c r="Y57" t="s">
        <v>496</v>
      </c>
      <c r="Z57">
        <v>145498</v>
      </c>
      <c r="AA57">
        <v>145498</v>
      </c>
      <c r="AB57">
        <v>0</v>
      </c>
      <c r="AC57">
        <v>58199</v>
      </c>
      <c r="AD57">
        <v>58199</v>
      </c>
      <c r="AE57">
        <v>0</v>
      </c>
      <c r="AF57">
        <v>16005</v>
      </c>
      <c r="AG57">
        <v>16005</v>
      </c>
      <c r="AH57">
        <v>0</v>
      </c>
      <c r="AI57">
        <v>0</v>
      </c>
      <c r="AJ57">
        <v>0</v>
      </c>
      <c r="AK57">
        <v>0</v>
      </c>
      <c r="AL57">
        <v>10000</v>
      </c>
      <c r="AM57">
        <v>10000</v>
      </c>
      <c r="AN57">
        <v>0</v>
      </c>
      <c r="AO57">
        <v>0</v>
      </c>
      <c r="AP57">
        <v>0</v>
      </c>
      <c r="AQ57">
        <v>0</v>
      </c>
      <c r="AR57">
        <v>132244</v>
      </c>
      <c r="AS57">
        <v>132244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361946</v>
      </c>
      <c r="BI57">
        <v>361946</v>
      </c>
      <c r="BJ57">
        <v>0</v>
      </c>
      <c r="BK57">
        <v>0</v>
      </c>
      <c r="BL57">
        <v>74577</v>
      </c>
      <c r="BM57">
        <v>200</v>
      </c>
      <c r="BN57">
        <v>0</v>
      </c>
      <c r="BO57">
        <v>0</v>
      </c>
      <c r="BP57">
        <v>1800</v>
      </c>
      <c r="BQ57">
        <v>0</v>
      </c>
      <c r="BR57">
        <v>1800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76577</v>
      </c>
      <c r="CZ57">
        <v>285369</v>
      </c>
      <c r="DA57" t="s">
        <v>118</v>
      </c>
      <c r="DB57" t="s">
        <v>118</v>
      </c>
      <c r="DC57">
        <v>285369</v>
      </c>
      <c r="DE57">
        <v>285368</v>
      </c>
      <c r="DF57">
        <f t="shared" si="0"/>
        <v>1</v>
      </c>
    </row>
    <row r="58" spans="1:111">
      <c r="A58" t="s">
        <v>497</v>
      </c>
      <c r="B58" t="s">
        <v>498</v>
      </c>
      <c r="C58" t="s">
        <v>182</v>
      </c>
      <c r="D58" t="s">
        <v>499</v>
      </c>
      <c r="E58" t="s">
        <v>113</v>
      </c>
      <c r="F58" t="s">
        <v>114</v>
      </c>
      <c r="G58" t="s">
        <v>115</v>
      </c>
      <c r="H58" t="s">
        <v>113</v>
      </c>
      <c r="I58" t="s">
        <v>116</v>
      </c>
      <c r="J58" t="s">
        <v>117</v>
      </c>
      <c r="K58" t="s">
        <v>118</v>
      </c>
      <c r="L58" t="s">
        <v>118</v>
      </c>
      <c r="M58" t="s">
        <v>113</v>
      </c>
      <c r="N58" t="s">
        <v>199</v>
      </c>
      <c r="O58" t="s">
        <v>118</v>
      </c>
      <c r="P58" t="s">
        <v>117</v>
      </c>
      <c r="Q58" t="s">
        <v>117</v>
      </c>
      <c r="R58" t="s">
        <v>259</v>
      </c>
      <c r="S58" t="s">
        <v>169</v>
      </c>
      <c r="T58" t="s">
        <v>121</v>
      </c>
      <c r="U58" t="s">
        <v>122</v>
      </c>
      <c r="V58" t="s">
        <v>500</v>
      </c>
      <c r="W58" t="s">
        <v>135</v>
      </c>
      <c r="X58" t="s">
        <v>501</v>
      </c>
      <c r="Y58" t="s">
        <v>502</v>
      </c>
      <c r="Z58">
        <v>141762</v>
      </c>
      <c r="AA58">
        <v>141762</v>
      </c>
      <c r="AB58">
        <v>8750</v>
      </c>
      <c r="AC58">
        <v>56705</v>
      </c>
      <c r="AD58">
        <v>56705</v>
      </c>
      <c r="AE58">
        <v>3500</v>
      </c>
      <c r="AF58">
        <v>15594</v>
      </c>
      <c r="AG58">
        <v>15594</v>
      </c>
      <c r="AH58">
        <v>963</v>
      </c>
      <c r="AI58">
        <v>0</v>
      </c>
      <c r="AJ58">
        <v>0</v>
      </c>
      <c r="AK58">
        <v>0</v>
      </c>
      <c r="AL58">
        <v>10000</v>
      </c>
      <c r="AM58">
        <v>10000</v>
      </c>
      <c r="AN58">
        <v>0</v>
      </c>
      <c r="AO58">
        <v>0</v>
      </c>
      <c r="AP58">
        <v>0</v>
      </c>
      <c r="AQ58">
        <v>0</v>
      </c>
      <c r="AR58">
        <v>113334</v>
      </c>
      <c r="AS58">
        <v>113334</v>
      </c>
      <c r="AT58">
        <v>7614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358222</v>
      </c>
      <c r="BI58">
        <v>358222</v>
      </c>
      <c r="BJ58">
        <v>0</v>
      </c>
      <c r="BK58">
        <v>0</v>
      </c>
      <c r="BL58">
        <v>68217</v>
      </c>
      <c r="BM58">
        <v>200</v>
      </c>
      <c r="BN58">
        <v>0</v>
      </c>
      <c r="BO58">
        <v>0</v>
      </c>
      <c r="BP58">
        <v>17011</v>
      </c>
      <c r="BQ58">
        <v>1050</v>
      </c>
      <c r="BR58">
        <v>17011</v>
      </c>
      <c r="BS58">
        <v>1050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86478</v>
      </c>
      <c r="CZ58">
        <v>271744</v>
      </c>
      <c r="DA58" t="s">
        <v>118</v>
      </c>
      <c r="DB58" t="s">
        <v>118</v>
      </c>
      <c r="DC58">
        <v>271744</v>
      </c>
      <c r="DE58">
        <v>237332</v>
      </c>
      <c r="DF58">
        <f t="shared" si="0"/>
        <v>34412</v>
      </c>
      <c r="DG58" t="s">
        <v>204</v>
      </c>
    </row>
    <row r="59" spans="1:111">
      <c r="A59" t="s">
        <v>503</v>
      </c>
      <c r="B59" t="s">
        <v>504</v>
      </c>
      <c r="C59" t="s">
        <v>505</v>
      </c>
      <c r="D59" t="s">
        <v>506</v>
      </c>
      <c r="E59" s="8">
        <v>45975</v>
      </c>
      <c r="F59" t="s">
        <v>114</v>
      </c>
      <c r="G59" t="s">
        <v>115</v>
      </c>
      <c r="H59" t="s">
        <v>113</v>
      </c>
      <c r="I59" s="3" t="s">
        <v>309</v>
      </c>
      <c r="J59" t="s">
        <v>117</v>
      </c>
      <c r="K59" t="s">
        <v>118</v>
      </c>
      <c r="L59" t="s">
        <v>118</v>
      </c>
      <c r="M59" t="s">
        <v>113</v>
      </c>
      <c r="N59" t="s">
        <v>118</v>
      </c>
      <c r="O59" t="s">
        <v>118</v>
      </c>
      <c r="P59" t="s">
        <v>507</v>
      </c>
      <c r="Q59" t="s">
        <v>507</v>
      </c>
      <c r="R59" t="s">
        <v>272</v>
      </c>
      <c r="S59" t="s">
        <v>169</v>
      </c>
      <c r="T59" t="s">
        <v>121</v>
      </c>
      <c r="U59" t="s">
        <v>122</v>
      </c>
      <c r="V59" t="s">
        <v>508</v>
      </c>
      <c r="W59" t="s">
        <v>135</v>
      </c>
      <c r="X59" t="s">
        <v>509</v>
      </c>
      <c r="Y59" t="s">
        <v>510</v>
      </c>
      <c r="Z59">
        <v>99837</v>
      </c>
      <c r="AA59">
        <v>64411</v>
      </c>
      <c r="AB59">
        <v>0</v>
      </c>
      <c r="AC59">
        <v>39935</v>
      </c>
      <c r="AD59">
        <v>25765</v>
      </c>
      <c r="AE59">
        <v>0</v>
      </c>
      <c r="AF59">
        <v>10982</v>
      </c>
      <c r="AG59">
        <v>7085</v>
      </c>
      <c r="AH59">
        <v>0</v>
      </c>
      <c r="AI59">
        <v>0</v>
      </c>
      <c r="AJ59">
        <v>0</v>
      </c>
      <c r="AK59">
        <v>0</v>
      </c>
      <c r="AL59">
        <v>10000</v>
      </c>
      <c r="AM59">
        <v>6452</v>
      </c>
      <c r="AN59">
        <v>0</v>
      </c>
      <c r="AO59">
        <v>2200</v>
      </c>
      <c r="AP59">
        <v>1419</v>
      </c>
      <c r="AQ59">
        <v>0</v>
      </c>
      <c r="AR59">
        <v>74659</v>
      </c>
      <c r="AS59">
        <v>48167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153299</v>
      </c>
      <c r="BI59">
        <v>153299</v>
      </c>
      <c r="BJ59">
        <v>1419</v>
      </c>
      <c r="BK59">
        <v>0</v>
      </c>
      <c r="BL59">
        <v>0</v>
      </c>
      <c r="BM59">
        <v>200</v>
      </c>
      <c r="BN59">
        <v>0</v>
      </c>
      <c r="BO59">
        <v>0</v>
      </c>
      <c r="BP59">
        <v>7729</v>
      </c>
      <c r="BQ59">
        <v>0</v>
      </c>
      <c r="BR59">
        <v>7729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9348</v>
      </c>
      <c r="CZ59">
        <v>143951</v>
      </c>
      <c r="DA59" t="s">
        <v>118</v>
      </c>
      <c r="DB59" t="s">
        <v>118</v>
      </c>
      <c r="DC59">
        <v>143951</v>
      </c>
      <c r="DE59">
        <v>187447</v>
      </c>
      <c r="DF59">
        <f t="shared" si="0"/>
        <v>-43496</v>
      </c>
      <c r="DG59" t="s">
        <v>511</v>
      </c>
    </row>
    <row r="60" spans="1:111">
      <c r="A60" t="s">
        <v>512</v>
      </c>
      <c r="B60" t="s">
        <v>513</v>
      </c>
      <c r="C60" t="s">
        <v>182</v>
      </c>
      <c r="D60" t="s">
        <v>514</v>
      </c>
      <c r="E60" t="s">
        <v>113</v>
      </c>
      <c r="F60" t="s">
        <v>114</v>
      </c>
      <c r="G60" t="s">
        <v>115</v>
      </c>
      <c r="H60" t="s">
        <v>113</v>
      </c>
      <c r="I60" t="s">
        <v>116</v>
      </c>
      <c r="J60" t="s">
        <v>117</v>
      </c>
      <c r="K60" t="s">
        <v>118</v>
      </c>
      <c r="L60" t="s">
        <v>118</v>
      </c>
      <c r="M60" t="s">
        <v>113</v>
      </c>
      <c r="N60" t="s">
        <v>199</v>
      </c>
      <c r="O60" t="s">
        <v>118</v>
      </c>
      <c r="P60" t="s">
        <v>117</v>
      </c>
      <c r="Q60" t="s">
        <v>117</v>
      </c>
      <c r="R60" t="s">
        <v>515</v>
      </c>
      <c r="S60" t="s">
        <v>169</v>
      </c>
      <c r="T60" t="s">
        <v>121</v>
      </c>
      <c r="U60" t="s">
        <v>122</v>
      </c>
      <c r="V60" t="s">
        <v>516</v>
      </c>
      <c r="W60" t="s">
        <v>135</v>
      </c>
      <c r="X60" t="s">
        <v>517</v>
      </c>
      <c r="Y60" t="s">
        <v>518</v>
      </c>
      <c r="Z60">
        <v>79288</v>
      </c>
      <c r="AA60">
        <v>79288</v>
      </c>
      <c r="AB60">
        <v>3740</v>
      </c>
      <c r="AC60">
        <v>31715</v>
      </c>
      <c r="AD60">
        <v>31715</v>
      </c>
      <c r="AE60">
        <v>1496</v>
      </c>
      <c r="AF60">
        <v>8722</v>
      </c>
      <c r="AG60">
        <v>8722</v>
      </c>
      <c r="AH60">
        <v>412</v>
      </c>
      <c r="AI60">
        <v>0</v>
      </c>
      <c r="AJ60">
        <v>0</v>
      </c>
      <c r="AK60">
        <v>0</v>
      </c>
      <c r="AL60">
        <v>10000</v>
      </c>
      <c r="AM60">
        <v>10000</v>
      </c>
      <c r="AN60">
        <v>0</v>
      </c>
      <c r="AO60">
        <v>0</v>
      </c>
      <c r="AP60">
        <v>0</v>
      </c>
      <c r="AQ60">
        <v>0</v>
      </c>
      <c r="AR60">
        <v>58979</v>
      </c>
      <c r="AS60">
        <v>58979</v>
      </c>
      <c r="AT60">
        <v>3253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197605</v>
      </c>
      <c r="BI60">
        <v>197605</v>
      </c>
      <c r="BJ60">
        <v>0</v>
      </c>
      <c r="BK60">
        <v>0</v>
      </c>
      <c r="BL60">
        <v>21901</v>
      </c>
      <c r="BM60">
        <v>200</v>
      </c>
      <c r="BN60">
        <v>0</v>
      </c>
      <c r="BO60">
        <v>0</v>
      </c>
      <c r="BP60">
        <v>9515</v>
      </c>
      <c r="BQ60">
        <v>449</v>
      </c>
      <c r="BR60">
        <v>9515</v>
      </c>
      <c r="BS60">
        <v>449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32065</v>
      </c>
      <c r="CZ60">
        <v>165540</v>
      </c>
      <c r="DA60" t="s">
        <v>118</v>
      </c>
      <c r="DB60" t="s">
        <v>118</v>
      </c>
      <c r="DC60">
        <v>165540</v>
      </c>
      <c r="DE60">
        <v>150186</v>
      </c>
      <c r="DF60">
        <f t="shared" si="0"/>
        <v>15354</v>
      </c>
      <c r="DG60" t="s">
        <v>204</v>
      </c>
    </row>
    <row r="61" spans="1:111">
      <c r="A61" t="s">
        <v>519</v>
      </c>
      <c r="B61" t="s">
        <v>520</v>
      </c>
      <c r="C61" t="s">
        <v>130</v>
      </c>
      <c r="D61" t="s">
        <v>521</v>
      </c>
      <c r="E61" t="s">
        <v>113</v>
      </c>
      <c r="F61" t="s">
        <v>114</v>
      </c>
      <c r="G61" t="s">
        <v>115</v>
      </c>
      <c r="H61" t="s">
        <v>113</v>
      </c>
      <c r="I61" t="s">
        <v>116</v>
      </c>
      <c r="J61" t="s">
        <v>117</v>
      </c>
      <c r="K61" t="s">
        <v>118</v>
      </c>
      <c r="L61" t="s">
        <v>118</v>
      </c>
      <c r="M61" t="s">
        <v>113</v>
      </c>
      <c r="N61" t="s">
        <v>118</v>
      </c>
      <c r="O61" t="s">
        <v>118</v>
      </c>
      <c r="P61" t="s">
        <v>117</v>
      </c>
      <c r="Q61" t="s">
        <v>117</v>
      </c>
      <c r="R61" t="s">
        <v>522</v>
      </c>
      <c r="S61" t="s">
        <v>133</v>
      </c>
      <c r="T61" t="s">
        <v>121</v>
      </c>
      <c r="U61" t="s">
        <v>122</v>
      </c>
      <c r="V61" t="s">
        <v>523</v>
      </c>
      <c r="W61" t="s">
        <v>135</v>
      </c>
      <c r="X61" t="s">
        <v>524</v>
      </c>
      <c r="Y61" t="s">
        <v>525</v>
      </c>
      <c r="Z61">
        <v>90350</v>
      </c>
      <c r="AA61">
        <v>90350</v>
      </c>
      <c r="AB61">
        <v>0</v>
      </c>
      <c r="AC61">
        <v>36140</v>
      </c>
      <c r="AD61">
        <v>36140</v>
      </c>
      <c r="AE61">
        <v>0</v>
      </c>
      <c r="AF61">
        <v>9939</v>
      </c>
      <c r="AG61">
        <v>9939</v>
      </c>
      <c r="AH61">
        <v>0</v>
      </c>
      <c r="AI61">
        <v>0</v>
      </c>
      <c r="AJ61">
        <v>0</v>
      </c>
      <c r="AK61">
        <v>0</v>
      </c>
      <c r="AL61">
        <v>10000</v>
      </c>
      <c r="AM61">
        <v>10000</v>
      </c>
      <c r="AN61">
        <v>0</v>
      </c>
      <c r="AO61">
        <v>2200</v>
      </c>
      <c r="AP61">
        <v>2200</v>
      </c>
      <c r="AQ61">
        <v>0</v>
      </c>
      <c r="AR61">
        <v>66404</v>
      </c>
      <c r="AS61">
        <v>66404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215033</v>
      </c>
      <c r="BI61">
        <v>215033</v>
      </c>
      <c r="BJ61">
        <v>2200</v>
      </c>
      <c r="BK61">
        <v>0</v>
      </c>
      <c r="BL61">
        <v>28741</v>
      </c>
      <c r="BM61">
        <v>200</v>
      </c>
      <c r="BN61">
        <v>0</v>
      </c>
      <c r="BO61">
        <v>0</v>
      </c>
      <c r="BP61">
        <v>10842</v>
      </c>
      <c r="BQ61">
        <v>0</v>
      </c>
      <c r="BR61">
        <v>10842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41983</v>
      </c>
      <c r="CZ61">
        <v>173050</v>
      </c>
      <c r="DA61" t="s">
        <v>118</v>
      </c>
      <c r="DB61" t="s">
        <v>118</v>
      </c>
      <c r="DC61">
        <v>173050</v>
      </c>
      <c r="DE61">
        <v>173051</v>
      </c>
      <c r="DF61">
        <f t="shared" si="0"/>
        <v>-1</v>
      </c>
    </row>
    <row r="62" spans="1:111">
      <c r="A62" t="s">
        <v>526</v>
      </c>
      <c r="B62" t="s">
        <v>527</v>
      </c>
      <c r="C62" t="s">
        <v>182</v>
      </c>
      <c r="D62" t="s">
        <v>528</v>
      </c>
      <c r="E62" t="s">
        <v>113</v>
      </c>
      <c r="F62" t="s">
        <v>114</v>
      </c>
      <c r="G62" t="s">
        <v>115</v>
      </c>
      <c r="H62" t="s">
        <v>113</v>
      </c>
      <c r="I62" t="s">
        <v>116</v>
      </c>
      <c r="J62" t="s">
        <v>117</v>
      </c>
      <c r="K62" t="s">
        <v>118</v>
      </c>
      <c r="L62" t="s">
        <v>118</v>
      </c>
      <c r="M62" t="s">
        <v>113</v>
      </c>
      <c r="N62" t="s">
        <v>118</v>
      </c>
      <c r="O62" t="s">
        <v>118</v>
      </c>
      <c r="P62" t="s">
        <v>117</v>
      </c>
      <c r="Q62" t="s">
        <v>117</v>
      </c>
      <c r="R62" t="s">
        <v>529</v>
      </c>
      <c r="S62" t="s">
        <v>169</v>
      </c>
      <c r="T62" t="s">
        <v>121</v>
      </c>
      <c r="U62" t="s">
        <v>122</v>
      </c>
      <c r="V62" t="s">
        <v>530</v>
      </c>
      <c r="W62" t="s">
        <v>135</v>
      </c>
      <c r="X62" t="s">
        <v>445</v>
      </c>
      <c r="Y62" t="s">
        <v>531</v>
      </c>
      <c r="Z62">
        <v>36458</v>
      </c>
      <c r="AA62">
        <v>36458</v>
      </c>
      <c r="AB62">
        <v>0</v>
      </c>
      <c r="AC62">
        <v>14583</v>
      </c>
      <c r="AD62">
        <v>14583</v>
      </c>
      <c r="AE62">
        <v>0</v>
      </c>
      <c r="AF62">
        <v>4010</v>
      </c>
      <c r="AG62">
        <v>4010</v>
      </c>
      <c r="AH62">
        <v>0</v>
      </c>
      <c r="AI62">
        <v>0</v>
      </c>
      <c r="AJ62">
        <v>0</v>
      </c>
      <c r="AK62">
        <v>0</v>
      </c>
      <c r="AL62">
        <v>9115</v>
      </c>
      <c r="AM62">
        <v>9115</v>
      </c>
      <c r="AN62">
        <v>0</v>
      </c>
      <c r="AO62">
        <v>0</v>
      </c>
      <c r="AP62">
        <v>0</v>
      </c>
      <c r="AQ62">
        <v>0</v>
      </c>
      <c r="AR62">
        <v>25179</v>
      </c>
      <c r="AS62">
        <v>25179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89345</v>
      </c>
      <c r="BI62">
        <v>89345</v>
      </c>
      <c r="BJ62">
        <v>0</v>
      </c>
      <c r="BK62">
        <v>0</v>
      </c>
      <c r="BL62">
        <v>0</v>
      </c>
      <c r="BM62">
        <v>200</v>
      </c>
      <c r="BN62">
        <v>0</v>
      </c>
      <c r="BO62">
        <v>0</v>
      </c>
      <c r="BP62">
        <v>1800</v>
      </c>
      <c r="BQ62">
        <v>0</v>
      </c>
      <c r="BR62">
        <v>1800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2000</v>
      </c>
      <c r="CZ62">
        <v>87345</v>
      </c>
      <c r="DA62" t="s">
        <v>118</v>
      </c>
      <c r="DB62" t="s">
        <v>118</v>
      </c>
      <c r="DC62">
        <v>87345</v>
      </c>
      <c r="DE62">
        <v>87345</v>
      </c>
      <c r="DF62">
        <f t="shared" si="0"/>
        <v>0</v>
      </c>
    </row>
    <row r="63" spans="1:111">
      <c r="A63" t="s">
        <v>532</v>
      </c>
      <c r="B63" t="s">
        <v>533</v>
      </c>
      <c r="C63" t="s">
        <v>182</v>
      </c>
      <c r="D63" t="s">
        <v>528</v>
      </c>
      <c r="E63" t="s">
        <v>113</v>
      </c>
      <c r="F63" t="s">
        <v>114</v>
      </c>
      <c r="G63" t="s">
        <v>115</v>
      </c>
      <c r="H63" t="s">
        <v>113</v>
      </c>
      <c r="I63" t="s">
        <v>116</v>
      </c>
      <c r="J63" t="s">
        <v>117</v>
      </c>
      <c r="K63" t="s">
        <v>118</v>
      </c>
      <c r="L63" t="s">
        <v>118</v>
      </c>
      <c r="M63" t="s">
        <v>113</v>
      </c>
      <c r="N63" t="s">
        <v>118</v>
      </c>
      <c r="O63" t="s">
        <v>118</v>
      </c>
      <c r="P63" t="s">
        <v>117</v>
      </c>
      <c r="Q63" t="s">
        <v>117</v>
      </c>
      <c r="R63" t="s">
        <v>529</v>
      </c>
      <c r="S63" t="s">
        <v>169</v>
      </c>
      <c r="T63" t="s">
        <v>121</v>
      </c>
      <c r="U63" t="s">
        <v>122</v>
      </c>
      <c r="V63" t="s">
        <v>534</v>
      </c>
      <c r="W63" t="s">
        <v>135</v>
      </c>
      <c r="X63" t="s">
        <v>445</v>
      </c>
      <c r="Y63" t="s">
        <v>535</v>
      </c>
      <c r="Z63">
        <v>36458</v>
      </c>
      <c r="AA63">
        <v>36458</v>
      </c>
      <c r="AB63">
        <v>0</v>
      </c>
      <c r="AC63">
        <v>14583</v>
      </c>
      <c r="AD63">
        <v>14583</v>
      </c>
      <c r="AE63">
        <v>0</v>
      </c>
      <c r="AF63">
        <v>4010</v>
      </c>
      <c r="AG63">
        <v>4010</v>
      </c>
      <c r="AH63">
        <v>0</v>
      </c>
      <c r="AI63">
        <v>0</v>
      </c>
      <c r="AJ63">
        <v>0</v>
      </c>
      <c r="AK63">
        <v>0</v>
      </c>
      <c r="AL63">
        <v>9115</v>
      </c>
      <c r="AM63">
        <v>9115</v>
      </c>
      <c r="AN63">
        <v>0</v>
      </c>
      <c r="AO63">
        <v>0</v>
      </c>
      <c r="AP63">
        <v>0</v>
      </c>
      <c r="AQ63">
        <v>0</v>
      </c>
      <c r="AR63">
        <v>25179</v>
      </c>
      <c r="AS63">
        <v>25179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89345</v>
      </c>
      <c r="BI63">
        <v>89345</v>
      </c>
      <c r="BJ63">
        <v>0</v>
      </c>
      <c r="BK63">
        <v>0</v>
      </c>
      <c r="BL63">
        <v>0</v>
      </c>
      <c r="BM63">
        <v>200</v>
      </c>
      <c r="BN63">
        <v>0</v>
      </c>
      <c r="BO63">
        <v>0</v>
      </c>
      <c r="BP63">
        <v>1800</v>
      </c>
      <c r="BQ63">
        <v>0</v>
      </c>
      <c r="BR63">
        <v>1800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2000</v>
      </c>
      <c r="CZ63">
        <v>87345</v>
      </c>
      <c r="DA63" t="s">
        <v>118</v>
      </c>
      <c r="DB63" t="s">
        <v>118</v>
      </c>
      <c r="DC63">
        <v>87345</v>
      </c>
      <c r="DE63">
        <v>87345</v>
      </c>
      <c r="DF63">
        <f t="shared" si="0"/>
        <v>0</v>
      </c>
    </row>
    <row r="64" spans="1:111">
      <c r="A64" t="s">
        <v>536</v>
      </c>
      <c r="B64" t="s">
        <v>537</v>
      </c>
      <c r="C64" t="s">
        <v>182</v>
      </c>
      <c r="D64" t="s">
        <v>528</v>
      </c>
      <c r="E64" t="s">
        <v>113</v>
      </c>
      <c r="F64" t="s">
        <v>114</v>
      </c>
      <c r="G64" t="s">
        <v>115</v>
      </c>
      <c r="H64" t="s">
        <v>113</v>
      </c>
      <c r="I64" t="s">
        <v>116</v>
      </c>
      <c r="J64" t="s">
        <v>117</v>
      </c>
      <c r="K64" t="s">
        <v>118</v>
      </c>
      <c r="L64" t="s">
        <v>118</v>
      </c>
      <c r="M64" t="s">
        <v>113</v>
      </c>
      <c r="N64" t="s">
        <v>118</v>
      </c>
      <c r="O64" t="s">
        <v>118</v>
      </c>
      <c r="P64" t="s">
        <v>117</v>
      </c>
      <c r="Q64" t="s">
        <v>117</v>
      </c>
      <c r="R64" t="s">
        <v>393</v>
      </c>
      <c r="S64" t="s">
        <v>169</v>
      </c>
      <c r="T64" t="s">
        <v>121</v>
      </c>
      <c r="U64" t="s">
        <v>122</v>
      </c>
      <c r="V64" t="s">
        <v>538</v>
      </c>
      <c r="W64" t="s">
        <v>135</v>
      </c>
      <c r="X64" t="s">
        <v>539</v>
      </c>
      <c r="Y64" t="s">
        <v>540</v>
      </c>
      <c r="Z64">
        <v>15027</v>
      </c>
      <c r="AA64">
        <v>15027</v>
      </c>
      <c r="AB64">
        <v>0</v>
      </c>
      <c r="AC64">
        <v>6011</v>
      </c>
      <c r="AD64">
        <v>6011</v>
      </c>
      <c r="AE64">
        <v>0</v>
      </c>
      <c r="AF64">
        <v>1653</v>
      </c>
      <c r="AG64">
        <v>1653</v>
      </c>
      <c r="AH64">
        <v>0</v>
      </c>
      <c r="AI64">
        <v>0</v>
      </c>
      <c r="AJ64">
        <v>0</v>
      </c>
      <c r="AK64">
        <v>0</v>
      </c>
      <c r="AL64">
        <v>3757</v>
      </c>
      <c r="AM64">
        <v>3757</v>
      </c>
      <c r="AN64">
        <v>0</v>
      </c>
      <c r="AO64">
        <v>0</v>
      </c>
      <c r="AP64">
        <v>0</v>
      </c>
      <c r="AQ64">
        <v>0</v>
      </c>
      <c r="AR64">
        <v>9318</v>
      </c>
      <c r="AS64">
        <v>9318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35766</v>
      </c>
      <c r="BI64">
        <v>35766</v>
      </c>
      <c r="BJ64">
        <v>0</v>
      </c>
      <c r="BK64">
        <v>0</v>
      </c>
      <c r="BL64">
        <v>0</v>
      </c>
      <c r="BM64">
        <v>200</v>
      </c>
      <c r="BN64">
        <v>0</v>
      </c>
      <c r="BO64">
        <v>0</v>
      </c>
      <c r="BP64">
        <v>1800</v>
      </c>
      <c r="BQ64">
        <v>0</v>
      </c>
      <c r="BR64">
        <v>1800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2000</v>
      </c>
      <c r="CZ64">
        <v>33766</v>
      </c>
      <c r="DA64" t="s">
        <v>118</v>
      </c>
      <c r="DB64" t="s">
        <v>118</v>
      </c>
      <c r="DC64">
        <v>33766</v>
      </c>
      <c r="DE64">
        <v>33766</v>
      </c>
      <c r="DF64">
        <f t="shared" si="0"/>
        <v>0</v>
      </c>
    </row>
    <row r="65" spans="1:110">
      <c r="A65" t="s">
        <v>541</v>
      </c>
      <c r="B65" t="s">
        <v>542</v>
      </c>
      <c r="C65" t="s">
        <v>182</v>
      </c>
      <c r="D65" t="s">
        <v>528</v>
      </c>
      <c r="E65" t="s">
        <v>113</v>
      </c>
      <c r="F65" t="s">
        <v>114</v>
      </c>
      <c r="G65" t="s">
        <v>115</v>
      </c>
      <c r="H65" t="s">
        <v>113</v>
      </c>
      <c r="I65" t="s">
        <v>116</v>
      </c>
      <c r="J65" t="s">
        <v>117</v>
      </c>
      <c r="K65" t="s">
        <v>118</v>
      </c>
      <c r="L65" t="s">
        <v>118</v>
      </c>
      <c r="M65" t="s">
        <v>113</v>
      </c>
      <c r="N65" t="s">
        <v>118</v>
      </c>
      <c r="O65" t="s">
        <v>118</v>
      </c>
      <c r="P65" t="s">
        <v>117</v>
      </c>
      <c r="Q65" t="s">
        <v>117</v>
      </c>
      <c r="R65" t="s">
        <v>393</v>
      </c>
      <c r="S65" t="s">
        <v>169</v>
      </c>
      <c r="T65" t="s">
        <v>121</v>
      </c>
      <c r="U65" t="s">
        <v>122</v>
      </c>
      <c r="V65" t="s">
        <v>543</v>
      </c>
      <c r="W65" t="s">
        <v>135</v>
      </c>
      <c r="X65" t="s">
        <v>470</v>
      </c>
      <c r="Y65" t="s">
        <v>544</v>
      </c>
      <c r="Z65">
        <v>30223</v>
      </c>
      <c r="AA65">
        <v>30223</v>
      </c>
      <c r="AB65">
        <v>0</v>
      </c>
      <c r="AC65">
        <v>12089</v>
      </c>
      <c r="AD65">
        <v>12089</v>
      </c>
      <c r="AE65">
        <v>0</v>
      </c>
      <c r="AF65">
        <v>3325</v>
      </c>
      <c r="AG65">
        <v>3325</v>
      </c>
      <c r="AH65">
        <v>0</v>
      </c>
      <c r="AI65">
        <v>0</v>
      </c>
      <c r="AJ65">
        <v>0</v>
      </c>
      <c r="AK65">
        <v>0</v>
      </c>
      <c r="AL65">
        <v>7556</v>
      </c>
      <c r="AM65">
        <v>7556</v>
      </c>
      <c r="AN65">
        <v>0</v>
      </c>
      <c r="AO65">
        <v>0</v>
      </c>
      <c r="AP65">
        <v>0</v>
      </c>
      <c r="AQ65">
        <v>0</v>
      </c>
      <c r="AR65">
        <v>20565</v>
      </c>
      <c r="AS65">
        <v>20565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73758</v>
      </c>
      <c r="BI65">
        <v>73758</v>
      </c>
      <c r="BJ65">
        <v>0</v>
      </c>
      <c r="BK65">
        <v>0</v>
      </c>
      <c r="BL65">
        <v>0</v>
      </c>
      <c r="BM65">
        <v>200</v>
      </c>
      <c r="BN65">
        <v>0</v>
      </c>
      <c r="BO65">
        <v>0</v>
      </c>
      <c r="BP65">
        <v>1800</v>
      </c>
      <c r="BQ65">
        <v>0</v>
      </c>
      <c r="BR65">
        <v>1800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2000</v>
      </c>
      <c r="CZ65">
        <v>71758</v>
      </c>
      <c r="DA65" t="s">
        <v>118</v>
      </c>
      <c r="DB65" t="s">
        <v>118</v>
      </c>
      <c r="DC65">
        <v>71758</v>
      </c>
      <c r="DE65">
        <v>71758</v>
      </c>
      <c r="DF65">
        <f t="shared" si="0"/>
        <v>0</v>
      </c>
    </row>
    <row r="66" spans="1:110">
      <c r="A66" t="s">
        <v>545</v>
      </c>
      <c r="B66" t="s">
        <v>546</v>
      </c>
      <c r="C66" t="s">
        <v>182</v>
      </c>
      <c r="D66" t="s">
        <v>547</v>
      </c>
      <c r="E66" t="s">
        <v>113</v>
      </c>
      <c r="F66" t="s">
        <v>114</v>
      </c>
      <c r="G66" t="s">
        <v>115</v>
      </c>
      <c r="H66" t="s">
        <v>113</v>
      </c>
      <c r="I66" t="s">
        <v>116</v>
      </c>
      <c r="J66" t="s">
        <v>117</v>
      </c>
      <c r="K66" t="s">
        <v>118</v>
      </c>
      <c r="L66" t="s">
        <v>118</v>
      </c>
      <c r="M66" t="s">
        <v>113</v>
      </c>
      <c r="N66" t="s">
        <v>118</v>
      </c>
      <c r="O66" t="s">
        <v>118</v>
      </c>
      <c r="P66" t="s">
        <v>117</v>
      </c>
      <c r="Q66" t="s">
        <v>117</v>
      </c>
      <c r="R66" t="s">
        <v>529</v>
      </c>
      <c r="S66" t="s">
        <v>169</v>
      </c>
      <c r="T66" t="s">
        <v>121</v>
      </c>
      <c r="U66" t="s">
        <v>122</v>
      </c>
      <c r="V66" t="s">
        <v>548</v>
      </c>
      <c r="W66" t="s">
        <v>135</v>
      </c>
      <c r="X66" t="s">
        <v>445</v>
      </c>
      <c r="Y66" t="s">
        <v>549</v>
      </c>
      <c r="Z66">
        <v>36458</v>
      </c>
      <c r="AA66">
        <v>36458</v>
      </c>
      <c r="AB66">
        <v>0</v>
      </c>
      <c r="AC66">
        <v>14583</v>
      </c>
      <c r="AD66">
        <v>14583</v>
      </c>
      <c r="AE66">
        <v>0</v>
      </c>
      <c r="AF66">
        <v>4010</v>
      </c>
      <c r="AG66">
        <v>4010</v>
      </c>
      <c r="AH66">
        <v>0</v>
      </c>
      <c r="AI66">
        <v>0</v>
      </c>
      <c r="AJ66">
        <v>0</v>
      </c>
      <c r="AK66">
        <v>0</v>
      </c>
      <c r="AL66">
        <v>9115</v>
      </c>
      <c r="AM66">
        <v>9115</v>
      </c>
      <c r="AN66">
        <v>0</v>
      </c>
      <c r="AO66">
        <v>0</v>
      </c>
      <c r="AP66">
        <v>0</v>
      </c>
      <c r="AQ66">
        <v>0</v>
      </c>
      <c r="AR66">
        <v>25179</v>
      </c>
      <c r="AS66">
        <v>25179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89345</v>
      </c>
      <c r="BI66">
        <v>89345</v>
      </c>
      <c r="BJ66">
        <v>0</v>
      </c>
      <c r="BK66">
        <v>0</v>
      </c>
      <c r="BL66">
        <v>0</v>
      </c>
      <c r="BM66">
        <v>200</v>
      </c>
      <c r="BN66">
        <v>0</v>
      </c>
      <c r="BO66">
        <v>0</v>
      </c>
      <c r="BP66">
        <v>1800</v>
      </c>
      <c r="BQ66">
        <v>0</v>
      </c>
      <c r="BR66">
        <v>1800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2000</v>
      </c>
      <c r="CZ66">
        <v>87345</v>
      </c>
      <c r="DA66" t="s">
        <v>118</v>
      </c>
      <c r="DB66" t="s">
        <v>118</v>
      </c>
      <c r="DC66">
        <v>87345</v>
      </c>
      <c r="DE66">
        <v>87345</v>
      </c>
      <c r="DF66">
        <f t="shared" si="0"/>
        <v>0</v>
      </c>
    </row>
    <row r="67" spans="1:110">
      <c r="A67" t="s">
        <v>550</v>
      </c>
      <c r="B67" t="s">
        <v>551</v>
      </c>
      <c r="C67" t="s">
        <v>182</v>
      </c>
      <c r="D67" t="s">
        <v>528</v>
      </c>
      <c r="E67" t="s">
        <v>113</v>
      </c>
      <c r="F67" t="s">
        <v>114</v>
      </c>
      <c r="G67" t="s">
        <v>115</v>
      </c>
      <c r="H67" t="s">
        <v>113</v>
      </c>
      <c r="I67" t="s">
        <v>116</v>
      </c>
      <c r="J67" t="s">
        <v>117</v>
      </c>
      <c r="K67" t="s">
        <v>118</v>
      </c>
      <c r="L67" t="s">
        <v>118</v>
      </c>
      <c r="M67" t="s">
        <v>113</v>
      </c>
      <c r="N67" t="s">
        <v>118</v>
      </c>
      <c r="O67" t="s">
        <v>118</v>
      </c>
      <c r="P67" t="s">
        <v>117</v>
      </c>
      <c r="Q67" t="s">
        <v>117</v>
      </c>
      <c r="R67" t="s">
        <v>529</v>
      </c>
      <c r="S67" t="s">
        <v>169</v>
      </c>
      <c r="T67" t="s">
        <v>121</v>
      </c>
      <c r="U67" t="s">
        <v>122</v>
      </c>
      <c r="V67" t="s">
        <v>552</v>
      </c>
      <c r="W67" t="s">
        <v>135</v>
      </c>
      <c r="X67" t="s">
        <v>445</v>
      </c>
      <c r="Y67" t="s">
        <v>553</v>
      </c>
      <c r="Z67">
        <v>36458</v>
      </c>
      <c r="AA67">
        <v>36458</v>
      </c>
      <c r="AB67">
        <v>0</v>
      </c>
      <c r="AC67">
        <v>14583</v>
      </c>
      <c r="AD67">
        <v>14583</v>
      </c>
      <c r="AE67">
        <v>0</v>
      </c>
      <c r="AF67">
        <v>4010</v>
      </c>
      <c r="AG67">
        <v>4010</v>
      </c>
      <c r="AH67">
        <v>0</v>
      </c>
      <c r="AI67">
        <v>0</v>
      </c>
      <c r="AJ67">
        <v>0</v>
      </c>
      <c r="AK67">
        <v>0</v>
      </c>
      <c r="AL67">
        <v>9115</v>
      </c>
      <c r="AM67">
        <v>9115</v>
      </c>
      <c r="AN67">
        <v>0</v>
      </c>
      <c r="AO67">
        <v>0</v>
      </c>
      <c r="AP67">
        <v>0</v>
      </c>
      <c r="AQ67">
        <v>0</v>
      </c>
      <c r="AR67">
        <v>25179</v>
      </c>
      <c r="AS67">
        <v>25179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89345</v>
      </c>
      <c r="BI67">
        <v>89345</v>
      </c>
      <c r="BJ67">
        <v>0</v>
      </c>
      <c r="BK67">
        <v>0</v>
      </c>
      <c r="BL67">
        <v>0</v>
      </c>
      <c r="BM67">
        <v>200</v>
      </c>
      <c r="BN67">
        <v>0</v>
      </c>
      <c r="BO67">
        <v>0</v>
      </c>
      <c r="BP67">
        <v>1800</v>
      </c>
      <c r="BQ67">
        <v>0</v>
      </c>
      <c r="BR67">
        <v>1800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2000</v>
      </c>
      <c r="CZ67">
        <v>87345</v>
      </c>
      <c r="DA67" t="s">
        <v>118</v>
      </c>
      <c r="DB67" t="s">
        <v>118</v>
      </c>
      <c r="DC67">
        <v>87345</v>
      </c>
      <c r="DE67">
        <v>87345</v>
      </c>
      <c r="DF67">
        <f t="shared" ref="DF67:DF130" si="1">DC67-DE67</f>
        <v>0</v>
      </c>
    </row>
    <row r="68" spans="1:110">
      <c r="A68" t="s">
        <v>554</v>
      </c>
      <c r="B68" t="s">
        <v>555</v>
      </c>
      <c r="C68" t="s">
        <v>182</v>
      </c>
      <c r="D68" t="s">
        <v>528</v>
      </c>
      <c r="E68" t="s">
        <v>113</v>
      </c>
      <c r="F68" t="s">
        <v>114</v>
      </c>
      <c r="G68" t="s">
        <v>115</v>
      </c>
      <c r="H68" t="s">
        <v>113</v>
      </c>
      <c r="I68" t="s">
        <v>116</v>
      </c>
      <c r="J68" t="s">
        <v>117</v>
      </c>
      <c r="K68" t="s">
        <v>118</v>
      </c>
      <c r="L68" t="s">
        <v>118</v>
      </c>
      <c r="M68" t="s">
        <v>113</v>
      </c>
      <c r="N68" t="s">
        <v>118</v>
      </c>
      <c r="O68" t="s">
        <v>118</v>
      </c>
      <c r="P68" t="s">
        <v>117</v>
      </c>
      <c r="Q68" t="s">
        <v>117</v>
      </c>
      <c r="R68" t="s">
        <v>529</v>
      </c>
      <c r="S68" t="s">
        <v>169</v>
      </c>
      <c r="T68" t="s">
        <v>121</v>
      </c>
      <c r="U68" t="s">
        <v>122</v>
      </c>
      <c r="V68" t="s">
        <v>556</v>
      </c>
      <c r="W68" t="s">
        <v>135</v>
      </c>
      <c r="X68" t="s">
        <v>445</v>
      </c>
      <c r="Y68" t="s">
        <v>557</v>
      </c>
      <c r="Z68">
        <v>36458</v>
      </c>
      <c r="AA68">
        <v>36458</v>
      </c>
      <c r="AB68">
        <v>0</v>
      </c>
      <c r="AC68">
        <v>14583</v>
      </c>
      <c r="AD68">
        <v>14583</v>
      </c>
      <c r="AE68">
        <v>0</v>
      </c>
      <c r="AF68">
        <v>4010</v>
      </c>
      <c r="AG68">
        <v>4010</v>
      </c>
      <c r="AH68">
        <v>0</v>
      </c>
      <c r="AI68">
        <v>0</v>
      </c>
      <c r="AJ68">
        <v>0</v>
      </c>
      <c r="AK68">
        <v>0</v>
      </c>
      <c r="AL68">
        <v>9115</v>
      </c>
      <c r="AM68">
        <v>9115</v>
      </c>
      <c r="AN68">
        <v>0</v>
      </c>
      <c r="AO68">
        <v>0</v>
      </c>
      <c r="AP68">
        <v>0</v>
      </c>
      <c r="AQ68">
        <v>0</v>
      </c>
      <c r="AR68">
        <v>25179</v>
      </c>
      <c r="AS68">
        <v>25179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89345</v>
      </c>
      <c r="BI68">
        <v>89345</v>
      </c>
      <c r="BJ68">
        <v>0</v>
      </c>
      <c r="BK68">
        <v>0</v>
      </c>
      <c r="BL68">
        <v>0</v>
      </c>
      <c r="BM68">
        <v>200</v>
      </c>
      <c r="BN68">
        <v>0</v>
      </c>
      <c r="BO68">
        <v>0</v>
      </c>
      <c r="BP68">
        <v>1800</v>
      </c>
      <c r="BQ68">
        <v>0</v>
      </c>
      <c r="BR68">
        <v>1800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2000</v>
      </c>
      <c r="CZ68">
        <v>87345</v>
      </c>
      <c r="DA68" t="s">
        <v>118</v>
      </c>
      <c r="DB68" t="s">
        <v>118</v>
      </c>
      <c r="DC68">
        <v>87345</v>
      </c>
      <c r="DE68">
        <v>87345</v>
      </c>
      <c r="DF68">
        <f t="shared" si="1"/>
        <v>0</v>
      </c>
    </row>
    <row r="69" spans="1:110">
      <c r="A69" t="s">
        <v>558</v>
      </c>
      <c r="B69" t="s">
        <v>559</v>
      </c>
      <c r="C69" t="s">
        <v>182</v>
      </c>
      <c r="D69" t="s">
        <v>528</v>
      </c>
      <c r="E69" t="s">
        <v>113</v>
      </c>
      <c r="F69" t="s">
        <v>114</v>
      </c>
      <c r="G69" t="s">
        <v>115</v>
      </c>
      <c r="H69" t="s">
        <v>113</v>
      </c>
      <c r="I69" t="s">
        <v>116</v>
      </c>
      <c r="J69" t="s">
        <v>117</v>
      </c>
      <c r="K69" t="s">
        <v>118</v>
      </c>
      <c r="L69" t="s">
        <v>118</v>
      </c>
      <c r="M69" t="s">
        <v>113</v>
      </c>
      <c r="N69" t="s">
        <v>118</v>
      </c>
      <c r="O69" t="s">
        <v>118</v>
      </c>
      <c r="P69" t="s">
        <v>117</v>
      </c>
      <c r="Q69" t="s">
        <v>117</v>
      </c>
      <c r="R69" t="s">
        <v>529</v>
      </c>
      <c r="S69" t="s">
        <v>169</v>
      </c>
      <c r="T69" t="s">
        <v>121</v>
      </c>
      <c r="U69" t="s">
        <v>122</v>
      </c>
      <c r="V69" t="s">
        <v>560</v>
      </c>
      <c r="W69" t="s">
        <v>135</v>
      </c>
      <c r="X69" t="s">
        <v>470</v>
      </c>
      <c r="Y69" t="s">
        <v>561</v>
      </c>
      <c r="Z69">
        <v>30223</v>
      </c>
      <c r="AA69">
        <v>30223</v>
      </c>
      <c r="AB69">
        <v>0</v>
      </c>
      <c r="AC69">
        <v>12089</v>
      </c>
      <c r="AD69">
        <v>12089</v>
      </c>
      <c r="AE69">
        <v>0</v>
      </c>
      <c r="AF69">
        <v>3325</v>
      </c>
      <c r="AG69">
        <v>3325</v>
      </c>
      <c r="AH69">
        <v>0</v>
      </c>
      <c r="AI69">
        <v>0</v>
      </c>
      <c r="AJ69">
        <v>0</v>
      </c>
      <c r="AK69">
        <v>0</v>
      </c>
      <c r="AL69">
        <v>7556</v>
      </c>
      <c r="AM69">
        <v>7556</v>
      </c>
      <c r="AN69">
        <v>0</v>
      </c>
      <c r="AO69">
        <v>0</v>
      </c>
      <c r="AP69">
        <v>0</v>
      </c>
      <c r="AQ69">
        <v>0</v>
      </c>
      <c r="AR69">
        <v>20565</v>
      </c>
      <c r="AS69">
        <v>20565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73758</v>
      </c>
      <c r="BI69">
        <v>73758</v>
      </c>
      <c r="BJ69">
        <v>0</v>
      </c>
      <c r="BK69">
        <v>0</v>
      </c>
      <c r="BL69">
        <v>0</v>
      </c>
      <c r="BM69">
        <v>200</v>
      </c>
      <c r="BN69">
        <v>0</v>
      </c>
      <c r="BO69">
        <v>0</v>
      </c>
      <c r="BP69">
        <v>1800</v>
      </c>
      <c r="BQ69">
        <v>0</v>
      </c>
      <c r="BR69">
        <v>1800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2000</v>
      </c>
      <c r="CZ69">
        <v>71758</v>
      </c>
      <c r="DA69" t="s">
        <v>118</v>
      </c>
      <c r="DB69" t="s">
        <v>118</v>
      </c>
      <c r="DC69">
        <v>71758</v>
      </c>
      <c r="DE69">
        <v>71758</v>
      </c>
      <c r="DF69">
        <f t="shared" si="1"/>
        <v>0</v>
      </c>
    </row>
    <row r="70" spans="1:110">
      <c r="A70" t="s">
        <v>562</v>
      </c>
      <c r="B70" t="s">
        <v>563</v>
      </c>
      <c r="C70" t="s">
        <v>182</v>
      </c>
      <c r="D70" t="s">
        <v>528</v>
      </c>
      <c r="E70" t="s">
        <v>113</v>
      </c>
      <c r="F70" t="s">
        <v>114</v>
      </c>
      <c r="G70" t="s">
        <v>115</v>
      </c>
      <c r="H70" t="s">
        <v>113</v>
      </c>
      <c r="I70" t="s">
        <v>116</v>
      </c>
      <c r="J70" t="s">
        <v>117</v>
      </c>
      <c r="K70" t="s">
        <v>118</v>
      </c>
      <c r="L70" t="s">
        <v>118</v>
      </c>
      <c r="M70" t="s">
        <v>113</v>
      </c>
      <c r="N70" t="s">
        <v>118</v>
      </c>
      <c r="O70" t="s">
        <v>118</v>
      </c>
      <c r="P70" t="s">
        <v>117</v>
      </c>
      <c r="Q70" t="s">
        <v>117</v>
      </c>
      <c r="R70" t="s">
        <v>529</v>
      </c>
      <c r="S70" t="s">
        <v>169</v>
      </c>
      <c r="T70" t="s">
        <v>121</v>
      </c>
      <c r="U70" t="s">
        <v>122</v>
      </c>
      <c r="V70" t="s">
        <v>564</v>
      </c>
      <c r="W70" t="s">
        <v>135</v>
      </c>
      <c r="X70" t="s">
        <v>470</v>
      </c>
      <c r="Y70" t="s">
        <v>565</v>
      </c>
      <c r="Z70">
        <v>30223</v>
      </c>
      <c r="AA70">
        <v>30223</v>
      </c>
      <c r="AB70">
        <v>0</v>
      </c>
      <c r="AC70">
        <v>12089</v>
      </c>
      <c r="AD70">
        <v>12089</v>
      </c>
      <c r="AE70">
        <v>0</v>
      </c>
      <c r="AF70">
        <v>3325</v>
      </c>
      <c r="AG70">
        <v>3325</v>
      </c>
      <c r="AH70">
        <v>0</v>
      </c>
      <c r="AI70">
        <v>0</v>
      </c>
      <c r="AJ70">
        <v>0</v>
      </c>
      <c r="AK70">
        <v>0</v>
      </c>
      <c r="AL70">
        <v>7556</v>
      </c>
      <c r="AM70">
        <v>7556</v>
      </c>
      <c r="AN70">
        <v>0</v>
      </c>
      <c r="AO70">
        <v>0</v>
      </c>
      <c r="AP70">
        <v>0</v>
      </c>
      <c r="AQ70">
        <v>0</v>
      </c>
      <c r="AR70">
        <v>20565</v>
      </c>
      <c r="AS70">
        <v>20565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73758</v>
      </c>
      <c r="BI70">
        <v>73758</v>
      </c>
      <c r="BJ70">
        <v>0</v>
      </c>
      <c r="BK70">
        <v>0</v>
      </c>
      <c r="BL70">
        <v>0</v>
      </c>
      <c r="BM70">
        <v>200</v>
      </c>
      <c r="BN70">
        <v>0</v>
      </c>
      <c r="BO70">
        <v>0</v>
      </c>
      <c r="BP70">
        <v>1800</v>
      </c>
      <c r="BQ70">
        <v>0</v>
      </c>
      <c r="BR70">
        <v>1800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2000</v>
      </c>
      <c r="CZ70">
        <v>71758</v>
      </c>
      <c r="DA70" t="s">
        <v>118</v>
      </c>
      <c r="DB70" t="s">
        <v>118</v>
      </c>
      <c r="DC70">
        <v>71758</v>
      </c>
      <c r="DE70">
        <v>71758</v>
      </c>
      <c r="DF70">
        <f t="shared" si="1"/>
        <v>0</v>
      </c>
    </row>
    <row r="71" spans="1:110">
      <c r="A71" t="s">
        <v>566</v>
      </c>
      <c r="B71" t="s">
        <v>567</v>
      </c>
      <c r="C71" t="s">
        <v>182</v>
      </c>
      <c r="D71" t="s">
        <v>528</v>
      </c>
      <c r="E71" t="s">
        <v>113</v>
      </c>
      <c r="F71" t="s">
        <v>114</v>
      </c>
      <c r="G71" t="s">
        <v>115</v>
      </c>
      <c r="H71" t="s">
        <v>113</v>
      </c>
      <c r="I71" t="s">
        <v>116</v>
      </c>
      <c r="J71" t="s">
        <v>117</v>
      </c>
      <c r="K71" t="s">
        <v>118</v>
      </c>
      <c r="L71" t="s">
        <v>118</v>
      </c>
      <c r="M71" t="s">
        <v>113</v>
      </c>
      <c r="N71" t="s">
        <v>118</v>
      </c>
      <c r="O71" t="s">
        <v>118</v>
      </c>
      <c r="P71" t="s">
        <v>117</v>
      </c>
      <c r="Q71" t="s">
        <v>117</v>
      </c>
      <c r="R71" t="s">
        <v>529</v>
      </c>
      <c r="S71" t="s">
        <v>169</v>
      </c>
      <c r="T71" t="s">
        <v>121</v>
      </c>
      <c r="U71" t="s">
        <v>122</v>
      </c>
      <c r="V71" t="s">
        <v>568</v>
      </c>
      <c r="W71" t="s">
        <v>135</v>
      </c>
      <c r="X71" t="s">
        <v>569</v>
      </c>
      <c r="Y71" t="s">
        <v>570</v>
      </c>
      <c r="Z71">
        <v>33341</v>
      </c>
      <c r="AA71">
        <v>33341</v>
      </c>
      <c r="AB71">
        <v>0</v>
      </c>
      <c r="AC71">
        <v>13336</v>
      </c>
      <c r="AD71">
        <v>13336</v>
      </c>
      <c r="AE71">
        <v>0</v>
      </c>
      <c r="AF71">
        <v>3667</v>
      </c>
      <c r="AG71">
        <v>3667</v>
      </c>
      <c r="AH71">
        <v>0</v>
      </c>
      <c r="AI71">
        <v>0</v>
      </c>
      <c r="AJ71">
        <v>0</v>
      </c>
      <c r="AK71">
        <v>0</v>
      </c>
      <c r="AL71">
        <v>8335</v>
      </c>
      <c r="AM71">
        <v>8335</v>
      </c>
      <c r="AN71">
        <v>0</v>
      </c>
      <c r="AO71">
        <v>0</v>
      </c>
      <c r="AP71">
        <v>0</v>
      </c>
      <c r="AQ71">
        <v>0</v>
      </c>
      <c r="AR71">
        <v>22872</v>
      </c>
      <c r="AS71">
        <v>22872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81551</v>
      </c>
      <c r="BI71">
        <v>81551</v>
      </c>
      <c r="BJ71">
        <v>0</v>
      </c>
      <c r="BK71">
        <v>0</v>
      </c>
      <c r="BL71">
        <v>0</v>
      </c>
      <c r="BM71">
        <v>200</v>
      </c>
      <c r="BN71">
        <v>0</v>
      </c>
      <c r="BO71">
        <v>0</v>
      </c>
      <c r="BP71">
        <v>1800</v>
      </c>
      <c r="BQ71">
        <v>0</v>
      </c>
      <c r="BR71">
        <v>1800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2000</v>
      </c>
      <c r="CZ71">
        <v>79551</v>
      </c>
      <c r="DA71" t="s">
        <v>118</v>
      </c>
      <c r="DB71" t="s">
        <v>118</v>
      </c>
      <c r="DC71">
        <v>79551</v>
      </c>
      <c r="DE71">
        <v>79551</v>
      </c>
      <c r="DF71">
        <f t="shared" si="1"/>
        <v>0</v>
      </c>
    </row>
    <row r="72" spans="1:110">
      <c r="A72" t="s">
        <v>571</v>
      </c>
      <c r="B72" t="s">
        <v>572</v>
      </c>
      <c r="C72" t="s">
        <v>182</v>
      </c>
      <c r="D72" t="s">
        <v>528</v>
      </c>
      <c r="E72" t="s">
        <v>113</v>
      </c>
      <c r="F72" t="s">
        <v>114</v>
      </c>
      <c r="G72" t="s">
        <v>115</v>
      </c>
      <c r="H72" t="s">
        <v>113</v>
      </c>
      <c r="I72" t="s">
        <v>116</v>
      </c>
      <c r="J72" t="s">
        <v>117</v>
      </c>
      <c r="K72" t="s">
        <v>118</v>
      </c>
      <c r="L72" t="s">
        <v>118</v>
      </c>
      <c r="M72" t="s">
        <v>113</v>
      </c>
      <c r="N72" t="s">
        <v>118</v>
      </c>
      <c r="O72" t="s">
        <v>118</v>
      </c>
      <c r="P72" t="s">
        <v>117</v>
      </c>
      <c r="Q72" t="s">
        <v>117</v>
      </c>
      <c r="R72" t="s">
        <v>529</v>
      </c>
      <c r="S72" t="s">
        <v>169</v>
      </c>
      <c r="T72" t="s">
        <v>121</v>
      </c>
      <c r="U72" t="s">
        <v>122</v>
      </c>
      <c r="V72" t="s">
        <v>573</v>
      </c>
      <c r="W72" t="s">
        <v>135</v>
      </c>
      <c r="X72" t="s">
        <v>470</v>
      </c>
      <c r="Y72" t="s">
        <v>574</v>
      </c>
      <c r="Z72">
        <v>30223</v>
      </c>
      <c r="AA72">
        <v>30223</v>
      </c>
      <c r="AB72">
        <v>0</v>
      </c>
      <c r="AC72">
        <v>12089</v>
      </c>
      <c r="AD72">
        <v>12089</v>
      </c>
      <c r="AE72">
        <v>0</v>
      </c>
      <c r="AF72">
        <v>3325</v>
      </c>
      <c r="AG72">
        <v>3325</v>
      </c>
      <c r="AH72">
        <v>0</v>
      </c>
      <c r="AI72">
        <v>0</v>
      </c>
      <c r="AJ72">
        <v>0</v>
      </c>
      <c r="AK72">
        <v>0</v>
      </c>
      <c r="AL72">
        <v>7556</v>
      </c>
      <c r="AM72">
        <v>7556</v>
      </c>
      <c r="AN72">
        <v>0</v>
      </c>
      <c r="AO72">
        <v>0</v>
      </c>
      <c r="AP72">
        <v>0</v>
      </c>
      <c r="AQ72">
        <v>0</v>
      </c>
      <c r="AR72">
        <v>20565</v>
      </c>
      <c r="AS72">
        <v>20565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73758</v>
      </c>
      <c r="BI72">
        <v>73758</v>
      </c>
      <c r="BJ72">
        <v>0</v>
      </c>
      <c r="BK72">
        <v>0</v>
      </c>
      <c r="BL72">
        <v>0</v>
      </c>
      <c r="BM72">
        <v>200</v>
      </c>
      <c r="BN72">
        <v>0</v>
      </c>
      <c r="BO72">
        <v>0</v>
      </c>
      <c r="BP72">
        <v>1800</v>
      </c>
      <c r="BQ72">
        <v>0</v>
      </c>
      <c r="BR72">
        <v>1800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2000</v>
      </c>
      <c r="CZ72">
        <v>71758</v>
      </c>
      <c r="DA72" t="s">
        <v>118</v>
      </c>
      <c r="DB72" t="s">
        <v>118</v>
      </c>
      <c r="DC72">
        <v>71758</v>
      </c>
      <c r="DE72">
        <v>71758</v>
      </c>
      <c r="DF72">
        <f t="shared" si="1"/>
        <v>0</v>
      </c>
    </row>
    <row r="73" spans="1:110">
      <c r="A73" t="s">
        <v>575</v>
      </c>
      <c r="B73" t="s">
        <v>576</v>
      </c>
      <c r="C73" t="s">
        <v>182</v>
      </c>
      <c r="D73" t="s">
        <v>528</v>
      </c>
      <c r="E73" t="s">
        <v>113</v>
      </c>
      <c r="F73" t="s">
        <v>114</v>
      </c>
      <c r="G73" t="s">
        <v>115</v>
      </c>
      <c r="H73" t="s">
        <v>113</v>
      </c>
      <c r="I73" t="s">
        <v>116</v>
      </c>
      <c r="J73" t="s">
        <v>117</v>
      </c>
      <c r="K73" t="s">
        <v>118</v>
      </c>
      <c r="L73" t="s">
        <v>118</v>
      </c>
      <c r="M73" t="s">
        <v>113</v>
      </c>
      <c r="N73" t="s">
        <v>118</v>
      </c>
      <c r="O73" t="s">
        <v>118</v>
      </c>
      <c r="P73" t="s">
        <v>117</v>
      </c>
      <c r="Q73" t="s">
        <v>117</v>
      </c>
      <c r="R73" t="s">
        <v>529</v>
      </c>
      <c r="S73" t="s">
        <v>169</v>
      </c>
      <c r="T73" t="s">
        <v>121</v>
      </c>
      <c r="U73" t="s">
        <v>122</v>
      </c>
      <c r="V73" t="s">
        <v>577</v>
      </c>
      <c r="W73" t="s">
        <v>135</v>
      </c>
      <c r="X73" t="s">
        <v>470</v>
      </c>
      <c r="Y73" t="s">
        <v>578</v>
      </c>
      <c r="Z73">
        <v>30223</v>
      </c>
      <c r="AA73">
        <v>30223</v>
      </c>
      <c r="AB73">
        <v>0</v>
      </c>
      <c r="AC73">
        <v>12089</v>
      </c>
      <c r="AD73">
        <v>12089</v>
      </c>
      <c r="AE73">
        <v>0</v>
      </c>
      <c r="AF73">
        <v>3325</v>
      </c>
      <c r="AG73">
        <v>3325</v>
      </c>
      <c r="AH73">
        <v>0</v>
      </c>
      <c r="AI73">
        <v>0</v>
      </c>
      <c r="AJ73">
        <v>0</v>
      </c>
      <c r="AK73">
        <v>0</v>
      </c>
      <c r="AL73">
        <v>7556</v>
      </c>
      <c r="AM73">
        <v>7556</v>
      </c>
      <c r="AN73">
        <v>0</v>
      </c>
      <c r="AO73">
        <v>0</v>
      </c>
      <c r="AP73">
        <v>0</v>
      </c>
      <c r="AQ73">
        <v>0</v>
      </c>
      <c r="AR73">
        <v>20565</v>
      </c>
      <c r="AS73">
        <v>20565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73758</v>
      </c>
      <c r="BI73">
        <v>73758</v>
      </c>
      <c r="BJ73">
        <v>0</v>
      </c>
      <c r="BK73">
        <v>0</v>
      </c>
      <c r="BL73">
        <v>0</v>
      </c>
      <c r="BM73">
        <v>200</v>
      </c>
      <c r="BN73">
        <v>0</v>
      </c>
      <c r="BO73">
        <v>0</v>
      </c>
      <c r="BP73">
        <v>1800</v>
      </c>
      <c r="BQ73">
        <v>0</v>
      </c>
      <c r="BR73">
        <v>1800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2000</v>
      </c>
      <c r="CZ73">
        <v>71758</v>
      </c>
      <c r="DA73" t="s">
        <v>118</v>
      </c>
      <c r="DB73" t="s">
        <v>118</v>
      </c>
      <c r="DC73">
        <v>71758</v>
      </c>
      <c r="DE73">
        <v>71758</v>
      </c>
      <c r="DF73">
        <f t="shared" si="1"/>
        <v>0</v>
      </c>
    </row>
    <row r="74" spans="1:110">
      <c r="A74" t="s">
        <v>579</v>
      </c>
      <c r="B74" t="s">
        <v>580</v>
      </c>
      <c r="C74" t="s">
        <v>158</v>
      </c>
      <c r="D74" t="s">
        <v>528</v>
      </c>
      <c r="E74" t="s">
        <v>113</v>
      </c>
      <c r="F74" t="s">
        <v>114</v>
      </c>
      <c r="G74" t="s">
        <v>115</v>
      </c>
      <c r="H74" t="s">
        <v>113</v>
      </c>
      <c r="I74" t="s">
        <v>116</v>
      </c>
      <c r="J74" t="s">
        <v>117</v>
      </c>
      <c r="K74" t="s">
        <v>118</v>
      </c>
      <c r="L74" t="s">
        <v>118</v>
      </c>
      <c r="M74" t="s">
        <v>113</v>
      </c>
      <c r="N74" t="s">
        <v>118</v>
      </c>
      <c r="O74" t="s">
        <v>118</v>
      </c>
      <c r="P74" t="s">
        <v>117</v>
      </c>
      <c r="Q74" t="s">
        <v>117</v>
      </c>
      <c r="R74" t="s">
        <v>442</v>
      </c>
      <c r="S74" t="s">
        <v>443</v>
      </c>
      <c r="T74" t="s">
        <v>121</v>
      </c>
      <c r="U74" t="s">
        <v>122</v>
      </c>
      <c r="V74" t="s">
        <v>581</v>
      </c>
      <c r="W74" t="s">
        <v>135</v>
      </c>
      <c r="X74" t="s">
        <v>445</v>
      </c>
      <c r="Y74" t="s">
        <v>582</v>
      </c>
      <c r="Z74">
        <v>36458</v>
      </c>
      <c r="AA74">
        <v>36458</v>
      </c>
      <c r="AB74">
        <v>0</v>
      </c>
      <c r="AC74">
        <v>14583</v>
      </c>
      <c r="AD74">
        <v>14583</v>
      </c>
      <c r="AE74">
        <v>0</v>
      </c>
      <c r="AF74">
        <v>4010</v>
      </c>
      <c r="AG74">
        <v>4010</v>
      </c>
      <c r="AH74">
        <v>0</v>
      </c>
      <c r="AI74">
        <v>0</v>
      </c>
      <c r="AJ74">
        <v>0</v>
      </c>
      <c r="AK74">
        <v>0</v>
      </c>
      <c r="AL74">
        <v>9115</v>
      </c>
      <c r="AM74">
        <v>9115</v>
      </c>
      <c r="AN74">
        <v>0</v>
      </c>
      <c r="AO74">
        <v>0</v>
      </c>
      <c r="AP74">
        <v>0</v>
      </c>
      <c r="AQ74">
        <v>0</v>
      </c>
      <c r="AR74">
        <v>25179</v>
      </c>
      <c r="AS74">
        <v>25179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89345</v>
      </c>
      <c r="BI74">
        <v>89345</v>
      </c>
      <c r="BJ74">
        <v>0</v>
      </c>
      <c r="BK74">
        <v>0</v>
      </c>
      <c r="BL74">
        <v>0</v>
      </c>
      <c r="BM74">
        <v>200</v>
      </c>
      <c r="BN74">
        <v>0</v>
      </c>
      <c r="BO74">
        <v>0</v>
      </c>
      <c r="BP74">
        <v>1800</v>
      </c>
      <c r="BQ74">
        <v>0</v>
      </c>
      <c r="BR74">
        <v>1800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2000</v>
      </c>
      <c r="CZ74">
        <v>87345</v>
      </c>
      <c r="DA74" t="s">
        <v>118</v>
      </c>
      <c r="DB74" t="s">
        <v>118</v>
      </c>
      <c r="DC74">
        <v>87345</v>
      </c>
      <c r="DE74">
        <v>87345</v>
      </c>
      <c r="DF74">
        <f t="shared" si="1"/>
        <v>0</v>
      </c>
    </row>
    <row r="75" spans="1:110">
      <c r="A75" t="s">
        <v>583</v>
      </c>
      <c r="B75" t="s">
        <v>584</v>
      </c>
      <c r="C75" t="s">
        <v>182</v>
      </c>
      <c r="D75" t="s">
        <v>528</v>
      </c>
      <c r="E75" t="s">
        <v>113</v>
      </c>
      <c r="F75" t="s">
        <v>114</v>
      </c>
      <c r="G75" t="s">
        <v>115</v>
      </c>
      <c r="H75" t="s">
        <v>113</v>
      </c>
      <c r="I75" t="s">
        <v>116</v>
      </c>
      <c r="J75" t="s">
        <v>117</v>
      </c>
      <c r="K75" t="s">
        <v>118</v>
      </c>
      <c r="L75" t="s">
        <v>118</v>
      </c>
      <c r="M75" t="s">
        <v>113</v>
      </c>
      <c r="N75" t="s">
        <v>118</v>
      </c>
      <c r="O75" t="s">
        <v>118</v>
      </c>
      <c r="P75" t="s">
        <v>117</v>
      </c>
      <c r="Q75" t="s">
        <v>117</v>
      </c>
      <c r="R75" t="s">
        <v>529</v>
      </c>
      <c r="S75" t="s">
        <v>169</v>
      </c>
      <c r="T75" t="s">
        <v>121</v>
      </c>
      <c r="U75" t="s">
        <v>122</v>
      </c>
      <c r="V75" t="s">
        <v>585</v>
      </c>
      <c r="W75" t="s">
        <v>135</v>
      </c>
      <c r="X75" t="s">
        <v>470</v>
      </c>
      <c r="Y75" t="s">
        <v>586</v>
      </c>
      <c r="Z75">
        <v>30223</v>
      </c>
      <c r="AA75">
        <v>30223</v>
      </c>
      <c r="AB75">
        <v>0</v>
      </c>
      <c r="AC75">
        <v>12089</v>
      </c>
      <c r="AD75">
        <v>12089</v>
      </c>
      <c r="AE75">
        <v>0</v>
      </c>
      <c r="AF75">
        <v>3325</v>
      </c>
      <c r="AG75">
        <v>3325</v>
      </c>
      <c r="AH75">
        <v>0</v>
      </c>
      <c r="AI75">
        <v>0</v>
      </c>
      <c r="AJ75">
        <v>0</v>
      </c>
      <c r="AK75">
        <v>0</v>
      </c>
      <c r="AL75">
        <v>7556</v>
      </c>
      <c r="AM75">
        <v>7556</v>
      </c>
      <c r="AN75">
        <v>0</v>
      </c>
      <c r="AO75">
        <v>0</v>
      </c>
      <c r="AP75">
        <v>0</v>
      </c>
      <c r="AQ75">
        <v>0</v>
      </c>
      <c r="AR75">
        <v>20565</v>
      </c>
      <c r="AS75">
        <v>20565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73758</v>
      </c>
      <c r="BI75">
        <v>73758</v>
      </c>
      <c r="BJ75">
        <v>0</v>
      </c>
      <c r="BK75">
        <v>0</v>
      </c>
      <c r="BL75">
        <v>0</v>
      </c>
      <c r="BM75">
        <v>200</v>
      </c>
      <c r="BN75">
        <v>0</v>
      </c>
      <c r="BO75">
        <v>0</v>
      </c>
      <c r="BP75">
        <v>1800</v>
      </c>
      <c r="BQ75">
        <v>0</v>
      </c>
      <c r="BR75">
        <v>1800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2000</v>
      </c>
      <c r="CZ75">
        <v>71758</v>
      </c>
      <c r="DA75" t="s">
        <v>118</v>
      </c>
      <c r="DB75" t="s">
        <v>118</v>
      </c>
      <c r="DC75">
        <v>71758</v>
      </c>
      <c r="DE75">
        <v>71758</v>
      </c>
      <c r="DF75">
        <f t="shared" si="1"/>
        <v>0</v>
      </c>
    </row>
    <row r="76" spans="1:110">
      <c r="A76" t="s">
        <v>587</v>
      </c>
      <c r="B76" t="s">
        <v>588</v>
      </c>
      <c r="C76" t="s">
        <v>158</v>
      </c>
      <c r="D76" t="s">
        <v>528</v>
      </c>
      <c r="E76" t="s">
        <v>113</v>
      </c>
      <c r="F76" t="s">
        <v>114</v>
      </c>
      <c r="G76" t="s">
        <v>115</v>
      </c>
      <c r="H76" t="s">
        <v>113</v>
      </c>
      <c r="I76" t="s">
        <v>116</v>
      </c>
      <c r="J76" t="s">
        <v>117</v>
      </c>
      <c r="K76" t="s">
        <v>118</v>
      </c>
      <c r="L76" t="s">
        <v>118</v>
      </c>
      <c r="M76" t="s">
        <v>113</v>
      </c>
      <c r="N76" t="s">
        <v>118</v>
      </c>
      <c r="O76" t="s">
        <v>118</v>
      </c>
      <c r="P76" t="s">
        <v>117</v>
      </c>
      <c r="Q76" t="s">
        <v>117</v>
      </c>
      <c r="R76" t="s">
        <v>442</v>
      </c>
      <c r="S76" t="s">
        <v>443</v>
      </c>
      <c r="T76" t="s">
        <v>121</v>
      </c>
      <c r="U76" t="s">
        <v>122</v>
      </c>
      <c r="V76" t="s">
        <v>589</v>
      </c>
      <c r="W76" t="s">
        <v>135</v>
      </c>
      <c r="X76" t="s">
        <v>445</v>
      </c>
      <c r="Y76" t="s">
        <v>590</v>
      </c>
      <c r="Z76">
        <v>36458</v>
      </c>
      <c r="AA76">
        <v>36458</v>
      </c>
      <c r="AB76">
        <v>0</v>
      </c>
      <c r="AC76">
        <v>14583</v>
      </c>
      <c r="AD76">
        <v>14583</v>
      </c>
      <c r="AE76">
        <v>0</v>
      </c>
      <c r="AF76">
        <v>4010</v>
      </c>
      <c r="AG76">
        <v>4010</v>
      </c>
      <c r="AH76">
        <v>0</v>
      </c>
      <c r="AI76">
        <v>0</v>
      </c>
      <c r="AJ76">
        <v>0</v>
      </c>
      <c r="AK76">
        <v>0</v>
      </c>
      <c r="AL76">
        <v>9115</v>
      </c>
      <c r="AM76">
        <v>9115</v>
      </c>
      <c r="AN76">
        <v>0</v>
      </c>
      <c r="AO76">
        <v>0</v>
      </c>
      <c r="AP76">
        <v>0</v>
      </c>
      <c r="AQ76">
        <v>0</v>
      </c>
      <c r="AR76">
        <v>25179</v>
      </c>
      <c r="AS76">
        <v>25179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89345</v>
      </c>
      <c r="BI76">
        <v>89345</v>
      </c>
      <c r="BJ76">
        <v>0</v>
      </c>
      <c r="BK76">
        <v>0</v>
      </c>
      <c r="BL76">
        <v>0</v>
      </c>
      <c r="BM76">
        <v>200</v>
      </c>
      <c r="BN76">
        <v>0</v>
      </c>
      <c r="BO76">
        <v>0</v>
      </c>
      <c r="BP76">
        <v>1800</v>
      </c>
      <c r="BQ76">
        <v>0</v>
      </c>
      <c r="BR76">
        <v>1800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2000</v>
      </c>
      <c r="CZ76">
        <v>87345</v>
      </c>
      <c r="DA76" t="s">
        <v>118</v>
      </c>
      <c r="DB76" t="s">
        <v>118</v>
      </c>
      <c r="DC76">
        <v>87345</v>
      </c>
      <c r="DE76">
        <v>87345</v>
      </c>
      <c r="DF76">
        <f t="shared" si="1"/>
        <v>0</v>
      </c>
    </row>
    <row r="77" spans="1:110">
      <c r="A77" t="s">
        <v>591</v>
      </c>
      <c r="B77" t="s">
        <v>592</v>
      </c>
      <c r="C77" t="s">
        <v>158</v>
      </c>
      <c r="D77" t="s">
        <v>528</v>
      </c>
      <c r="E77" t="s">
        <v>113</v>
      </c>
      <c r="F77" t="s">
        <v>114</v>
      </c>
      <c r="G77" t="s">
        <v>115</v>
      </c>
      <c r="H77" t="s">
        <v>113</v>
      </c>
      <c r="I77" t="s">
        <v>116</v>
      </c>
      <c r="J77" t="s">
        <v>117</v>
      </c>
      <c r="K77" t="s">
        <v>118</v>
      </c>
      <c r="L77" t="s">
        <v>118</v>
      </c>
      <c r="M77" t="s">
        <v>113</v>
      </c>
      <c r="N77" t="s">
        <v>118</v>
      </c>
      <c r="O77" t="s">
        <v>118</v>
      </c>
      <c r="P77" t="s">
        <v>117</v>
      </c>
      <c r="Q77" t="s">
        <v>117</v>
      </c>
      <c r="R77" t="s">
        <v>393</v>
      </c>
      <c r="S77" t="s">
        <v>169</v>
      </c>
      <c r="T77" t="s">
        <v>121</v>
      </c>
      <c r="U77" t="s">
        <v>122</v>
      </c>
      <c r="V77" t="s">
        <v>593</v>
      </c>
      <c r="W77" t="s">
        <v>135</v>
      </c>
      <c r="X77" t="s">
        <v>594</v>
      </c>
      <c r="Y77" t="s">
        <v>595</v>
      </c>
      <c r="Z77">
        <v>13718</v>
      </c>
      <c r="AA77">
        <v>13718</v>
      </c>
      <c r="AB77">
        <v>0</v>
      </c>
      <c r="AC77">
        <v>5487</v>
      </c>
      <c r="AD77">
        <v>5487</v>
      </c>
      <c r="AE77">
        <v>0</v>
      </c>
      <c r="AF77">
        <v>1509</v>
      </c>
      <c r="AG77">
        <v>1509</v>
      </c>
      <c r="AH77">
        <v>0</v>
      </c>
      <c r="AI77">
        <v>0</v>
      </c>
      <c r="AJ77">
        <v>0</v>
      </c>
      <c r="AK77">
        <v>0</v>
      </c>
      <c r="AL77">
        <v>3430</v>
      </c>
      <c r="AM77">
        <v>3430</v>
      </c>
      <c r="AN77">
        <v>0</v>
      </c>
      <c r="AO77">
        <v>0</v>
      </c>
      <c r="AP77">
        <v>0</v>
      </c>
      <c r="AQ77">
        <v>0</v>
      </c>
      <c r="AR77">
        <v>8352</v>
      </c>
      <c r="AS77">
        <v>8352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32496</v>
      </c>
      <c r="BI77">
        <v>32496</v>
      </c>
      <c r="BJ77">
        <v>0</v>
      </c>
      <c r="BK77">
        <v>0</v>
      </c>
      <c r="BL77">
        <v>0</v>
      </c>
      <c r="BM77">
        <v>200</v>
      </c>
      <c r="BN77">
        <v>0</v>
      </c>
      <c r="BO77">
        <v>0</v>
      </c>
      <c r="BP77">
        <v>1800</v>
      </c>
      <c r="BQ77">
        <v>0</v>
      </c>
      <c r="BR77">
        <v>1800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2000</v>
      </c>
      <c r="CZ77">
        <v>30496</v>
      </c>
      <c r="DA77" t="s">
        <v>118</v>
      </c>
      <c r="DB77" t="s">
        <v>118</v>
      </c>
      <c r="DC77">
        <v>30496</v>
      </c>
      <c r="DE77">
        <v>30496</v>
      </c>
      <c r="DF77">
        <f t="shared" si="1"/>
        <v>0</v>
      </c>
    </row>
    <row r="78" spans="1:110">
      <c r="A78" t="s">
        <v>596</v>
      </c>
      <c r="B78" t="s">
        <v>597</v>
      </c>
      <c r="C78" t="s">
        <v>158</v>
      </c>
      <c r="D78" t="s">
        <v>528</v>
      </c>
      <c r="E78" t="s">
        <v>113</v>
      </c>
      <c r="F78" t="s">
        <v>114</v>
      </c>
      <c r="G78" t="s">
        <v>115</v>
      </c>
      <c r="H78" t="s">
        <v>113</v>
      </c>
      <c r="I78" t="s">
        <v>116</v>
      </c>
      <c r="J78" t="s">
        <v>117</v>
      </c>
      <c r="K78" t="s">
        <v>118</v>
      </c>
      <c r="L78" t="s">
        <v>118</v>
      </c>
      <c r="M78" t="s">
        <v>113</v>
      </c>
      <c r="N78" t="s">
        <v>118</v>
      </c>
      <c r="O78" t="s">
        <v>118</v>
      </c>
      <c r="P78" t="s">
        <v>117</v>
      </c>
      <c r="Q78" t="s">
        <v>117</v>
      </c>
      <c r="R78" t="s">
        <v>442</v>
      </c>
      <c r="S78" t="s">
        <v>443</v>
      </c>
      <c r="T78" t="s">
        <v>121</v>
      </c>
      <c r="U78" t="s">
        <v>122</v>
      </c>
      <c r="V78" t="s">
        <v>598</v>
      </c>
      <c r="W78" t="s">
        <v>135</v>
      </c>
      <c r="X78" t="s">
        <v>445</v>
      </c>
      <c r="Y78" t="s">
        <v>599</v>
      </c>
      <c r="Z78">
        <v>36458</v>
      </c>
      <c r="AA78">
        <v>36458</v>
      </c>
      <c r="AB78">
        <v>0</v>
      </c>
      <c r="AC78">
        <v>14583</v>
      </c>
      <c r="AD78">
        <v>14583</v>
      </c>
      <c r="AE78">
        <v>0</v>
      </c>
      <c r="AF78">
        <v>4010</v>
      </c>
      <c r="AG78">
        <v>4010</v>
      </c>
      <c r="AH78">
        <v>0</v>
      </c>
      <c r="AI78">
        <v>0</v>
      </c>
      <c r="AJ78">
        <v>0</v>
      </c>
      <c r="AK78">
        <v>0</v>
      </c>
      <c r="AL78">
        <v>9115</v>
      </c>
      <c r="AM78">
        <v>9115</v>
      </c>
      <c r="AN78">
        <v>0</v>
      </c>
      <c r="AO78">
        <v>0</v>
      </c>
      <c r="AP78">
        <v>0</v>
      </c>
      <c r="AQ78">
        <v>0</v>
      </c>
      <c r="AR78">
        <v>25179</v>
      </c>
      <c r="AS78">
        <v>25179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89345</v>
      </c>
      <c r="BI78">
        <v>89345</v>
      </c>
      <c r="BJ78">
        <v>0</v>
      </c>
      <c r="BK78">
        <v>0</v>
      </c>
      <c r="BL78">
        <v>0</v>
      </c>
      <c r="BM78">
        <v>200</v>
      </c>
      <c r="BN78">
        <v>0</v>
      </c>
      <c r="BO78">
        <v>0</v>
      </c>
      <c r="BP78">
        <v>1800</v>
      </c>
      <c r="BQ78">
        <v>0</v>
      </c>
      <c r="BR78">
        <v>1800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2000</v>
      </c>
      <c r="CZ78">
        <v>87345</v>
      </c>
      <c r="DA78" t="s">
        <v>118</v>
      </c>
      <c r="DB78" t="s">
        <v>118</v>
      </c>
      <c r="DC78">
        <v>87345</v>
      </c>
      <c r="DE78">
        <v>87345</v>
      </c>
      <c r="DF78">
        <f t="shared" si="1"/>
        <v>0</v>
      </c>
    </row>
    <row r="79" spans="1:110">
      <c r="A79" t="s">
        <v>600</v>
      </c>
      <c r="B79" t="s">
        <v>601</v>
      </c>
      <c r="C79" t="s">
        <v>158</v>
      </c>
      <c r="D79" t="s">
        <v>528</v>
      </c>
      <c r="E79" t="s">
        <v>113</v>
      </c>
      <c r="F79" t="s">
        <v>114</v>
      </c>
      <c r="G79" t="s">
        <v>115</v>
      </c>
      <c r="H79" t="s">
        <v>113</v>
      </c>
      <c r="I79" t="s">
        <v>116</v>
      </c>
      <c r="J79" t="s">
        <v>117</v>
      </c>
      <c r="K79" t="s">
        <v>118</v>
      </c>
      <c r="L79" t="s">
        <v>118</v>
      </c>
      <c r="M79" t="s">
        <v>113</v>
      </c>
      <c r="N79" t="s">
        <v>118</v>
      </c>
      <c r="O79" t="s">
        <v>118</v>
      </c>
      <c r="P79" t="s">
        <v>117</v>
      </c>
      <c r="Q79" t="s">
        <v>117</v>
      </c>
      <c r="R79" t="s">
        <v>442</v>
      </c>
      <c r="S79" t="s">
        <v>443</v>
      </c>
      <c r="T79" t="s">
        <v>121</v>
      </c>
      <c r="U79" t="s">
        <v>122</v>
      </c>
      <c r="V79" t="s">
        <v>602</v>
      </c>
      <c r="W79" t="s">
        <v>135</v>
      </c>
      <c r="X79" t="s">
        <v>450</v>
      </c>
      <c r="Y79" t="s">
        <v>603</v>
      </c>
      <c r="Z79">
        <v>27106</v>
      </c>
      <c r="AA79">
        <v>27106</v>
      </c>
      <c r="AB79">
        <v>0</v>
      </c>
      <c r="AC79">
        <v>10842</v>
      </c>
      <c r="AD79">
        <v>10842</v>
      </c>
      <c r="AE79">
        <v>0</v>
      </c>
      <c r="AF79">
        <v>2982</v>
      </c>
      <c r="AG79">
        <v>2982</v>
      </c>
      <c r="AH79">
        <v>0</v>
      </c>
      <c r="AI79">
        <v>0</v>
      </c>
      <c r="AJ79">
        <v>0</v>
      </c>
      <c r="AK79">
        <v>0</v>
      </c>
      <c r="AL79">
        <v>6776</v>
      </c>
      <c r="AM79">
        <v>6776</v>
      </c>
      <c r="AN79">
        <v>0</v>
      </c>
      <c r="AO79">
        <v>0</v>
      </c>
      <c r="AP79">
        <v>0</v>
      </c>
      <c r="AQ79">
        <v>0</v>
      </c>
      <c r="AR79">
        <v>18258</v>
      </c>
      <c r="AS79">
        <v>18258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65964</v>
      </c>
      <c r="BI79">
        <v>65964</v>
      </c>
      <c r="BJ79">
        <v>0</v>
      </c>
      <c r="BK79">
        <v>0</v>
      </c>
      <c r="BL79">
        <v>0</v>
      </c>
      <c r="BM79">
        <v>200</v>
      </c>
      <c r="BN79">
        <v>0</v>
      </c>
      <c r="BO79">
        <v>0</v>
      </c>
      <c r="BP79">
        <v>1800</v>
      </c>
      <c r="BQ79">
        <v>0</v>
      </c>
      <c r="BR79">
        <v>1800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2000</v>
      </c>
      <c r="CZ79">
        <v>63964</v>
      </c>
      <c r="DA79" t="s">
        <v>118</v>
      </c>
      <c r="DB79" t="s">
        <v>118</v>
      </c>
      <c r="DC79">
        <v>63964</v>
      </c>
      <c r="DE79">
        <v>63964</v>
      </c>
      <c r="DF79">
        <f t="shared" si="1"/>
        <v>0</v>
      </c>
    </row>
    <row r="80" spans="1:110">
      <c r="A80" t="s">
        <v>604</v>
      </c>
      <c r="B80" t="s">
        <v>605</v>
      </c>
      <c r="C80" t="s">
        <v>158</v>
      </c>
      <c r="D80" t="s">
        <v>528</v>
      </c>
      <c r="E80" t="s">
        <v>113</v>
      </c>
      <c r="F80" t="s">
        <v>114</v>
      </c>
      <c r="G80" t="s">
        <v>115</v>
      </c>
      <c r="H80" t="s">
        <v>113</v>
      </c>
      <c r="I80" t="s">
        <v>116</v>
      </c>
      <c r="J80" t="s">
        <v>117</v>
      </c>
      <c r="K80" t="s">
        <v>118</v>
      </c>
      <c r="L80" t="s">
        <v>118</v>
      </c>
      <c r="M80" t="s">
        <v>113</v>
      </c>
      <c r="N80" t="s">
        <v>118</v>
      </c>
      <c r="O80" t="s">
        <v>118</v>
      </c>
      <c r="P80" t="s">
        <v>117</v>
      </c>
      <c r="Q80" t="s">
        <v>117</v>
      </c>
      <c r="R80" t="s">
        <v>442</v>
      </c>
      <c r="S80" t="s">
        <v>443</v>
      </c>
      <c r="T80" t="s">
        <v>121</v>
      </c>
      <c r="U80" t="s">
        <v>122</v>
      </c>
      <c r="V80" t="s">
        <v>606</v>
      </c>
      <c r="W80" t="s">
        <v>135</v>
      </c>
      <c r="X80" t="s">
        <v>445</v>
      </c>
      <c r="Y80" t="s">
        <v>607</v>
      </c>
      <c r="Z80">
        <v>36458</v>
      </c>
      <c r="AA80">
        <v>36458</v>
      </c>
      <c r="AB80">
        <v>0</v>
      </c>
      <c r="AC80">
        <v>14583</v>
      </c>
      <c r="AD80">
        <v>14583</v>
      </c>
      <c r="AE80">
        <v>0</v>
      </c>
      <c r="AF80">
        <v>4010</v>
      </c>
      <c r="AG80">
        <v>4010</v>
      </c>
      <c r="AH80">
        <v>0</v>
      </c>
      <c r="AI80">
        <v>0</v>
      </c>
      <c r="AJ80">
        <v>0</v>
      </c>
      <c r="AK80">
        <v>0</v>
      </c>
      <c r="AL80">
        <v>9115</v>
      </c>
      <c r="AM80">
        <v>9115</v>
      </c>
      <c r="AN80">
        <v>0</v>
      </c>
      <c r="AO80">
        <v>0</v>
      </c>
      <c r="AP80">
        <v>0</v>
      </c>
      <c r="AQ80">
        <v>0</v>
      </c>
      <c r="AR80">
        <v>25179</v>
      </c>
      <c r="AS80">
        <v>25179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89345</v>
      </c>
      <c r="BI80">
        <v>89345</v>
      </c>
      <c r="BJ80">
        <v>0</v>
      </c>
      <c r="BK80">
        <v>0</v>
      </c>
      <c r="BL80">
        <v>0</v>
      </c>
      <c r="BM80">
        <v>200</v>
      </c>
      <c r="BN80">
        <v>0</v>
      </c>
      <c r="BO80">
        <v>0</v>
      </c>
      <c r="BP80">
        <v>1800</v>
      </c>
      <c r="BQ80">
        <v>0</v>
      </c>
      <c r="BR80">
        <v>1800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2000</v>
      </c>
      <c r="CZ80">
        <v>87345</v>
      </c>
      <c r="DA80" t="s">
        <v>118</v>
      </c>
      <c r="DB80" t="s">
        <v>118</v>
      </c>
      <c r="DC80">
        <v>87345</v>
      </c>
      <c r="DE80">
        <v>87345</v>
      </c>
      <c r="DF80">
        <f t="shared" si="1"/>
        <v>0</v>
      </c>
    </row>
    <row r="81" spans="1:111">
      <c r="A81" t="s">
        <v>608</v>
      </c>
      <c r="B81" t="s">
        <v>609</v>
      </c>
      <c r="C81" t="s">
        <v>182</v>
      </c>
      <c r="D81" t="s">
        <v>610</v>
      </c>
      <c r="E81" t="s">
        <v>113</v>
      </c>
      <c r="F81" t="s">
        <v>114</v>
      </c>
      <c r="G81" t="s">
        <v>115</v>
      </c>
      <c r="H81" t="s">
        <v>113</v>
      </c>
      <c r="I81" t="s">
        <v>116</v>
      </c>
      <c r="J81" t="s">
        <v>117</v>
      </c>
      <c r="K81" t="s">
        <v>118</v>
      </c>
      <c r="L81" t="s">
        <v>118</v>
      </c>
      <c r="M81" t="s">
        <v>113</v>
      </c>
      <c r="N81" t="s">
        <v>118</v>
      </c>
      <c r="O81" t="s">
        <v>118</v>
      </c>
      <c r="P81" t="s">
        <v>117</v>
      </c>
      <c r="Q81" t="s">
        <v>117</v>
      </c>
      <c r="R81" t="s">
        <v>296</v>
      </c>
      <c r="S81" t="s">
        <v>182</v>
      </c>
      <c r="T81" t="s">
        <v>121</v>
      </c>
      <c r="U81" t="s">
        <v>122</v>
      </c>
      <c r="V81" t="s">
        <v>611</v>
      </c>
      <c r="W81" t="s">
        <v>135</v>
      </c>
      <c r="X81" t="s">
        <v>612</v>
      </c>
      <c r="Y81" t="s">
        <v>613</v>
      </c>
      <c r="Z81">
        <v>111889</v>
      </c>
      <c r="AA81">
        <v>111889</v>
      </c>
      <c r="AB81">
        <v>0</v>
      </c>
      <c r="AC81">
        <v>44756</v>
      </c>
      <c r="AD81">
        <v>44756</v>
      </c>
      <c r="AE81">
        <v>0</v>
      </c>
      <c r="AF81">
        <v>12308</v>
      </c>
      <c r="AG81">
        <v>12308</v>
      </c>
      <c r="AH81">
        <v>0</v>
      </c>
      <c r="AI81">
        <v>0</v>
      </c>
      <c r="AJ81">
        <v>0</v>
      </c>
      <c r="AK81">
        <v>0</v>
      </c>
      <c r="AL81">
        <v>10000</v>
      </c>
      <c r="AM81">
        <v>10000</v>
      </c>
      <c r="AN81">
        <v>0</v>
      </c>
      <c r="AO81">
        <v>0</v>
      </c>
      <c r="AP81">
        <v>0</v>
      </c>
      <c r="AQ81">
        <v>0</v>
      </c>
      <c r="AR81">
        <v>87343</v>
      </c>
      <c r="AS81">
        <v>87343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266296</v>
      </c>
      <c r="BI81">
        <v>266296</v>
      </c>
      <c r="BJ81">
        <v>0</v>
      </c>
      <c r="BK81">
        <v>0</v>
      </c>
      <c r="BL81">
        <v>44735</v>
      </c>
      <c r="BM81">
        <v>200</v>
      </c>
      <c r="BN81">
        <v>0</v>
      </c>
      <c r="BO81">
        <v>0</v>
      </c>
      <c r="BP81">
        <v>13427</v>
      </c>
      <c r="BQ81">
        <v>0</v>
      </c>
      <c r="BR81">
        <v>13427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58362</v>
      </c>
      <c r="CZ81">
        <v>207934</v>
      </c>
      <c r="DA81" t="s">
        <v>118</v>
      </c>
      <c r="DB81" t="s">
        <v>118</v>
      </c>
      <c r="DC81">
        <v>207934</v>
      </c>
      <c r="DE81">
        <v>207935</v>
      </c>
      <c r="DF81">
        <f t="shared" si="1"/>
        <v>-1</v>
      </c>
    </row>
    <row r="82" spans="1:111">
      <c r="A82" t="s">
        <v>614</v>
      </c>
      <c r="B82" t="s">
        <v>615</v>
      </c>
      <c r="C82" t="s">
        <v>111</v>
      </c>
      <c r="D82" t="s">
        <v>616</v>
      </c>
      <c r="E82" t="s">
        <v>113</v>
      </c>
      <c r="F82" t="s">
        <v>114</v>
      </c>
      <c r="G82" t="s">
        <v>115</v>
      </c>
      <c r="H82" t="s">
        <v>113</v>
      </c>
      <c r="I82" t="s">
        <v>116</v>
      </c>
      <c r="J82" t="s">
        <v>117</v>
      </c>
      <c r="K82" t="s">
        <v>118</v>
      </c>
      <c r="L82" t="s">
        <v>118</v>
      </c>
      <c r="M82" t="s">
        <v>113</v>
      </c>
      <c r="N82" t="s">
        <v>118</v>
      </c>
      <c r="O82" t="s">
        <v>118</v>
      </c>
      <c r="P82" t="s">
        <v>117</v>
      </c>
      <c r="Q82" t="s">
        <v>117</v>
      </c>
      <c r="R82" t="s">
        <v>617</v>
      </c>
      <c r="S82" t="s">
        <v>120</v>
      </c>
      <c r="T82" t="s">
        <v>121</v>
      </c>
      <c r="U82" t="s">
        <v>122</v>
      </c>
      <c r="V82" t="s">
        <v>618</v>
      </c>
      <c r="W82" t="s">
        <v>135</v>
      </c>
      <c r="X82" t="s">
        <v>619</v>
      </c>
      <c r="Y82" t="s">
        <v>620</v>
      </c>
      <c r="Z82">
        <v>91385</v>
      </c>
      <c r="AA82">
        <v>91385</v>
      </c>
      <c r="AB82">
        <v>0</v>
      </c>
      <c r="AC82">
        <v>36554</v>
      </c>
      <c r="AD82">
        <v>36554</v>
      </c>
      <c r="AE82">
        <v>0</v>
      </c>
      <c r="AF82">
        <v>10052</v>
      </c>
      <c r="AG82">
        <v>10052</v>
      </c>
      <c r="AH82">
        <v>0</v>
      </c>
      <c r="AI82">
        <v>0</v>
      </c>
      <c r="AJ82">
        <v>0</v>
      </c>
      <c r="AK82">
        <v>0</v>
      </c>
      <c r="AL82">
        <v>10000</v>
      </c>
      <c r="AM82">
        <v>10000</v>
      </c>
      <c r="AN82">
        <v>0</v>
      </c>
      <c r="AO82">
        <v>2200</v>
      </c>
      <c r="AP82">
        <v>2200</v>
      </c>
      <c r="AQ82">
        <v>0</v>
      </c>
      <c r="AR82">
        <v>76471</v>
      </c>
      <c r="AS82">
        <v>76471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226662</v>
      </c>
      <c r="BI82">
        <v>226662</v>
      </c>
      <c r="BJ82">
        <v>2200</v>
      </c>
      <c r="BK82">
        <v>0</v>
      </c>
      <c r="BL82">
        <v>32368</v>
      </c>
      <c r="BM82">
        <v>200</v>
      </c>
      <c r="BN82">
        <v>0</v>
      </c>
      <c r="BO82">
        <v>0</v>
      </c>
      <c r="BP82">
        <v>1800</v>
      </c>
      <c r="BQ82">
        <v>0</v>
      </c>
      <c r="BR82">
        <v>1800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36568</v>
      </c>
      <c r="CZ82">
        <v>190094</v>
      </c>
      <c r="DA82" t="s">
        <v>118</v>
      </c>
      <c r="DB82" t="s">
        <v>118</v>
      </c>
      <c r="DC82">
        <v>190094</v>
      </c>
      <c r="DE82">
        <v>190093</v>
      </c>
      <c r="DF82">
        <f t="shared" si="1"/>
        <v>1</v>
      </c>
    </row>
    <row r="83" spans="1:111">
      <c r="A83" t="s">
        <v>621</v>
      </c>
      <c r="B83" t="s">
        <v>622</v>
      </c>
      <c r="C83" t="s">
        <v>111</v>
      </c>
      <c r="D83" t="s">
        <v>623</v>
      </c>
      <c r="E83" t="s">
        <v>113</v>
      </c>
      <c r="F83" t="s">
        <v>114</v>
      </c>
      <c r="G83" t="s">
        <v>115</v>
      </c>
      <c r="H83" t="s">
        <v>113</v>
      </c>
      <c r="I83" t="s">
        <v>116</v>
      </c>
      <c r="J83" t="s">
        <v>117</v>
      </c>
      <c r="K83" t="s">
        <v>118</v>
      </c>
      <c r="L83" t="s">
        <v>118</v>
      </c>
      <c r="M83" t="s">
        <v>113</v>
      </c>
      <c r="N83" t="s">
        <v>118</v>
      </c>
      <c r="O83" t="s">
        <v>118</v>
      </c>
      <c r="P83" t="s">
        <v>117</v>
      </c>
      <c r="Q83" t="s">
        <v>117</v>
      </c>
      <c r="R83" t="s">
        <v>624</v>
      </c>
      <c r="S83" t="s">
        <v>120</v>
      </c>
      <c r="T83" t="s">
        <v>121</v>
      </c>
      <c r="U83" t="s">
        <v>122</v>
      </c>
      <c r="V83" t="s">
        <v>625</v>
      </c>
      <c r="W83" t="s">
        <v>135</v>
      </c>
      <c r="X83" t="s">
        <v>626</v>
      </c>
      <c r="Y83" t="s">
        <v>627</v>
      </c>
      <c r="Z83">
        <v>68580</v>
      </c>
      <c r="AA83">
        <v>68580</v>
      </c>
      <c r="AB83">
        <v>0</v>
      </c>
      <c r="AC83">
        <v>27432</v>
      </c>
      <c r="AD83">
        <v>27432</v>
      </c>
      <c r="AE83">
        <v>0</v>
      </c>
      <c r="AF83">
        <v>7544</v>
      </c>
      <c r="AG83">
        <v>7544</v>
      </c>
      <c r="AH83">
        <v>0</v>
      </c>
      <c r="AI83">
        <v>0</v>
      </c>
      <c r="AJ83">
        <v>0</v>
      </c>
      <c r="AK83">
        <v>0</v>
      </c>
      <c r="AL83">
        <v>10000</v>
      </c>
      <c r="AM83">
        <v>10000</v>
      </c>
      <c r="AN83">
        <v>0</v>
      </c>
      <c r="AO83">
        <v>2200</v>
      </c>
      <c r="AP83">
        <v>2200</v>
      </c>
      <c r="AQ83">
        <v>0</v>
      </c>
      <c r="AR83">
        <v>53895</v>
      </c>
      <c r="AS83">
        <v>53895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169651</v>
      </c>
      <c r="BI83">
        <v>169651</v>
      </c>
      <c r="BJ83">
        <v>2200</v>
      </c>
      <c r="BK83">
        <v>0</v>
      </c>
      <c r="BL83">
        <v>22087</v>
      </c>
      <c r="BM83">
        <v>200</v>
      </c>
      <c r="BN83">
        <v>0</v>
      </c>
      <c r="BO83">
        <v>0</v>
      </c>
      <c r="BP83">
        <v>1800</v>
      </c>
      <c r="BQ83">
        <v>0</v>
      </c>
      <c r="BR83">
        <v>1800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26287</v>
      </c>
      <c r="CZ83">
        <v>143364</v>
      </c>
      <c r="DA83" t="s">
        <v>118</v>
      </c>
      <c r="DB83" t="s">
        <v>118</v>
      </c>
      <c r="DC83">
        <v>143364</v>
      </c>
      <c r="DE83">
        <v>143365</v>
      </c>
      <c r="DF83">
        <f t="shared" si="1"/>
        <v>-1</v>
      </c>
    </row>
    <row r="84" spans="1:111">
      <c r="A84" t="s">
        <v>628</v>
      </c>
      <c r="B84" t="s">
        <v>629</v>
      </c>
      <c r="C84" t="s">
        <v>149</v>
      </c>
      <c r="D84" t="s">
        <v>630</v>
      </c>
      <c r="E84" t="s">
        <v>113</v>
      </c>
      <c r="F84" t="s">
        <v>114</v>
      </c>
      <c r="G84" t="s">
        <v>115</v>
      </c>
      <c r="H84" t="s">
        <v>113</v>
      </c>
      <c r="I84" t="s">
        <v>116</v>
      </c>
      <c r="J84" t="s">
        <v>117</v>
      </c>
      <c r="K84" t="s">
        <v>118</v>
      </c>
      <c r="L84" t="s">
        <v>118</v>
      </c>
      <c r="M84" t="s">
        <v>113</v>
      </c>
      <c r="N84" t="s">
        <v>118</v>
      </c>
      <c r="O84" t="s">
        <v>118</v>
      </c>
      <c r="P84" t="s">
        <v>117</v>
      </c>
      <c r="Q84" t="s">
        <v>117</v>
      </c>
      <c r="R84" t="s">
        <v>631</v>
      </c>
      <c r="S84" t="s">
        <v>152</v>
      </c>
      <c r="T84" t="s">
        <v>121</v>
      </c>
      <c r="U84" t="s">
        <v>122</v>
      </c>
      <c r="V84" t="s">
        <v>632</v>
      </c>
      <c r="W84" t="s">
        <v>135</v>
      </c>
      <c r="X84" t="s">
        <v>633</v>
      </c>
      <c r="Y84" t="s">
        <v>634</v>
      </c>
      <c r="Z84">
        <v>180000</v>
      </c>
      <c r="AA84">
        <v>180000</v>
      </c>
      <c r="AB84">
        <v>0</v>
      </c>
      <c r="AC84">
        <v>72000</v>
      </c>
      <c r="AD84">
        <v>72000</v>
      </c>
      <c r="AE84">
        <v>0</v>
      </c>
      <c r="AF84">
        <v>19800</v>
      </c>
      <c r="AG84">
        <v>19800</v>
      </c>
      <c r="AH84">
        <v>0</v>
      </c>
      <c r="AI84">
        <v>0</v>
      </c>
      <c r="AJ84">
        <v>0</v>
      </c>
      <c r="AK84">
        <v>0</v>
      </c>
      <c r="AL84">
        <v>10000</v>
      </c>
      <c r="AM84">
        <v>10000</v>
      </c>
      <c r="AN84">
        <v>0</v>
      </c>
      <c r="AO84">
        <v>2200</v>
      </c>
      <c r="AP84">
        <v>2200</v>
      </c>
      <c r="AQ84">
        <v>0</v>
      </c>
      <c r="AR84">
        <v>144400</v>
      </c>
      <c r="AS84">
        <v>144400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428400</v>
      </c>
      <c r="BI84">
        <v>428400</v>
      </c>
      <c r="BJ84">
        <v>2200</v>
      </c>
      <c r="BK84">
        <v>0</v>
      </c>
      <c r="BL84">
        <v>104962</v>
      </c>
      <c r="BM84">
        <v>200</v>
      </c>
      <c r="BN84">
        <v>0</v>
      </c>
      <c r="BO84">
        <v>0</v>
      </c>
      <c r="BP84">
        <v>21600</v>
      </c>
      <c r="BQ84">
        <v>0</v>
      </c>
      <c r="BR84">
        <v>21600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128962</v>
      </c>
      <c r="CZ84">
        <v>299438</v>
      </c>
      <c r="DA84" t="s">
        <v>118</v>
      </c>
      <c r="DB84" t="s">
        <v>118</v>
      </c>
      <c r="DC84">
        <v>299438</v>
      </c>
      <c r="DE84">
        <v>299438</v>
      </c>
      <c r="DF84">
        <f t="shared" si="1"/>
        <v>0</v>
      </c>
    </row>
    <row r="85" spans="1:111">
      <c r="A85" t="s">
        <v>635</v>
      </c>
      <c r="B85" t="s">
        <v>636</v>
      </c>
      <c r="C85" t="s">
        <v>158</v>
      </c>
      <c r="D85" t="s">
        <v>637</v>
      </c>
      <c r="E85" t="s">
        <v>113</v>
      </c>
      <c r="F85" t="s">
        <v>114</v>
      </c>
      <c r="G85" t="s">
        <v>115</v>
      </c>
      <c r="H85" t="s">
        <v>113</v>
      </c>
      <c r="I85" t="s">
        <v>116</v>
      </c>
      <c r="J85" t="s">
        <v>117</v>
      </c>
      <c r="K85" t="s">
        <v>118</v>
      </c>
      <c r="L85" t="s">
        <v>118</v>
      </c>
      <c r="M85" t="s">
        <v>113</v>
      </c>
      <c r="N85" t="s">
        <v>118</v>
      </c>
      <c r="O85" t="s">
        <v>118</v>
      </c>
      <c r="P85" t="s">
        <v>117</v>
      </c>
      <c r="Q85" t="s">
        <v>117</v>
      </c>
      <c r="R85" t="s">
        <v>638</v>
      </c>
      <c r="S85" t="s">
        <v>169</v>
      </c>
      <c r="T85" t="s">
        <v>121</v>
      </c>
      <c r="U85" t="s">
        <v>122</v>
      </c>
      <c r="V85" t="s">
        <v>639</v>
      </c>
      <c r="W85" t="s">
        <v>135</v>
      </c>
      <c r="X85" t="s">
        <v>640</v>
      </c>
      <c r="Y85" t="s">
        <v>641</v>
      </c>
      <c r="Z85">
        <v>92719</v>
      </c>
      <c r="AA85">
        <v>92719</v>
      </c>
      <c r="AB85">
        <v>0</v>
      </c>
      <c r="AC85">
        <v>37088</v>
      </c>
      <c r="AD85">
        <v>37088</v>
      </c>
      <c r="AE85">
        <v>0</v>
      </c>
      <c r="AF85">
        <v>10199</v>
      </c>
      <c r="AG85">
        <v>10199</v>
      </c>
      <c r="AH85">
        <v>0</v>
      </c>
      <c r="AI85">
        <v>0</v>
      </c>
      <c r="AJ85">
        <v>0</v>
      </c>
      <c r="AK85">
        <v>0</v>
      </c>
      <c r="AL85">
        <v>10000</v>
      </c>
      <c r="AM85">
        <v>10000</v>
      </c>
      <c r="AN85">
        <v>0</v>
      </c>
      <c r="AO85">
        <v>0</v>
      </c>
      <c r="AP85">
        <v>0</v>
      </c>
      <c r="AQ85">
        <v>0</v>
      </c>
      <c r="AR85">
        <v>79993</v>
      </c>
      <c r="AS85">
        <v>79993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229999</v>
      </c>
      <c r="BI85">
        <v>229999</v>
      </c>
      <c r="BJ85">
        <v>0</v>
      </c>
      <c r="BK85">
        <v>0</v>
      </c>
      <c r="BL85">
        <v>40083</v>
      </c>
      <c r="BM85">
        <v>200</v>
      </c>
      <c r="BN85">
        <v>0</v>
      </c>
      <c r="BO85">
        <v>0</v>
      </c>
      <c r="BP85">
        <v>1800</v>
      </c>
      <c r="BQ85">
        <v>0</v>
      </c>
      <c r="BR85">
        <v>1800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42083</v>
      </c>
      <c r="CZ85">
        <v>187916</v>
      </c>
      <c r="DA85" t="s">
        <v>118</v>
      </c>
      <c r="DB85" t="s">
        <v>118</v>
      </c>
      <c r="DC85">
        <v>187916</v>
      </c>
      <c r="DE85">
        <v>187916</v>
      </c>
      <c r="DF85">
        <f t="shared" si="1"/>
        <v>0</v>
      </c>
    </row>
    <row r="86" spans="1:111">
      <c r="A86" t="s">
        <v>642</v>
      </c>
      <c r="B86" t="s">
        <v>643</v>
      </c>
      <c r="C86" t="s">
        <v>362</v>
      </c>
      <c r="D86" t="s">
        <v>644</v>
      </c>
      <c r="E86" t="s">
        <v>113</v>
      </c>
      <c r="F86" t="s">
        <v>114</v>
      </c>
      <c r="G86" t="s">
        <v>115</v>
      </c>
      <c r="H86" t="s">
        <v>113</v>
      </c>
      <c r="I86" t="s">
        <v>116</v>
      </c>
      <c r="J86" t="s">
        <v>117</v>
      </c>
      <c r="K86" t="s">
        <v>118</v>
      </c>
      <c r="L86" t="s">
        <v>118</v>
      </c>
      <c r="M86" t="s">
        <v>113</v>
      </c>
      <c r="N86" t="s">
        <v>118</v>
      </c>
      <c r="O86" t="s">
        <v>118</v>
      </c>
      <c r="P86" t="s">
        <v>117</v>
      </c>
      <c r="Q86" t="s">
        <v>117</v>
      </c>
      <c r="R86" t="s">
        <v>645</v>
      </c>
      <c r="S86" t="s">
        <v>169</v>
      </c>
      <c r="T86" t="s">
        <v>121</v>
      </c>
      <c r="U86" t="s">
        <v>122</v>
      </c>
      <c r="V86" t="s">
        <v>646</v>
      </c>
      <c r="W86" t="s">
        <v>135</v>
      </c>
      <c r="X86" t="s">
        <v>647</v>
      </c>
      <c r="Y86" t="s">
        <v>648</v>
      </c>
      <c r="Z86">
        <v>85171</v>
      </c>
      <c r="AA86">
        <v>85171</v>
      </c>
      <c r="AB86">
        <v>0</v>
      </c>
      <c r="AC86">
        <v>34069</v>
      </c>
      <c r="AD86">
        <v>34069</v>
      </c>
      <c r="AE86">
        <v>0</v>
      </c>
      <c r="AF86">
        <v>9369</v>
      </c>
      <c r="AG86">
        <v>9369</v>
      </c>
      <c r="AH86">
        <v>0</v>
      </c>
      <c r="AI86">
        <v>0</v>
      </c>
      <c r="AJ86">
        <v>0</v>
      </c>
      <c r="AK86">
        <v>0</v>
      </c>
      <c r="AL86">
        <v>10000</v>
      </c>
      <c r="AM86">
        <v>10000</v>
      </c>
      <c r="AN86">
        <v>0</v>
      </c>
      <c r="AO86">
        <v>0</v>
      </c>
      <c r="AP86">
        <v>0</v>
      </c>
      <c r="AQ86">
        <v>0</v>
      </c>
      <c r="AR86">
        <v>72519</v>
      </c>
      <c r="AS86">
        <v>72519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20000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20000</v>
      </c>
      <c r="BH86">
        <v>231128</v>
      </c>
      <c r="BI86">
        <v>231128</v>
      </c>
      <c r="BJ86">
        <v>0</v>
      </c>
      <c r="BK86">
        <v>0</v>
      </c>
      <c r="BL86">
        <v>40124</v>
      </c>
      <c r="BM86">
        <v>200</v>
      </c>
      <c r="BN86">
        <v>0</v>
      </c>
      <c r="BO86">
        <v>0</v>
      </c>
      <c r="BP86">
        <v>1800</v>
      </c>
      <c r="BQ86">
        <v>0</v>
      </c>
      <c r="BR86">
        <v>1800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42124</v>
      </c>
      <c r="CZ86">
        <v>189004</v>
      </c>
      <c r="DA86" t="s">
        <v>118</v>
      </c>
      <c r="DB86" t="s">
        <v>118</v>
      </c>
      <c r="DC86">
        <v>189004</v>
      </c>
      <c r="DE86">
        <v>190252</v>
      </c>
      <c r="DF86">
        <f t="shared" si="1"/>
        <v>-1248</v>
      </c>
      <c r="DG86" t="s">
        <v>402</v>
      </c>
    </row>
    <row r="87" spans="1:111">
      <c r="A87" t="s">
        <v>649</v>
      </c>
      <c r="B87" t="s">
        <v>650</v>
      </c>
      <c r="C87" t="s">
        <v>182</v>
      </c>
      <c r="D87" t="s">
        <v>651</v>
      </c>
      <c r="E87" t="s">
        <v>113</v>
      </c>
      <c r="F87" t="s">
        <v>114</v>
      </c>
      <c r="G87" t="s">
        <v>115</v>
      </c>
      <c r="H87" t="s">
        <v>113</v>
      </c>
      <c r="I87" t="s">
        <v>116</v>
      </c>
      <c r="J87" t="s">
        <v>117</v>
      </c>
      <c r="K87" t="s">
        <v>118</v>
      </c>
      <c r="L87" t="s">
        <v>118</v>
      </c>
      <c r="M87" t="s">
        <v>113</v>
      </c>
      <c r="N87" t="s">
        <v>199</v>
      </c>
      <c r="O87" t="s">
        <v>118</v>
      </c>
      <c r="P87" t="s">
        <v>117</v>
      </c>
      <c r="Q87" t="s">
        <v>117</v>
      </c>
      <c r="R87" t="s">
        <v>652</v>
      </c>
      <c r="S87" t="s">
        <v>169</v>
      </c>
      <c r="T87" t="s">
        <v>121</v>
      </c>
      <c r="U87" t="s">
        <v>122</v>
      </c>
      <c r="V87" t="s">
        <v>653</v>
      </c>
      <c r="W87" t="s">
        <v>135</v>
      </c>
      <c r="X87" t="s">
        <v>654</v>
      </c>
      <c r="Y87" t="s">
        <v>655</v>
      </c>
      <c r="Z87">
        <v>131967</v>
      </c>
      <c r="AA87">
        <v>131967</v>
      </c>
      <c r="AB87">
        <v>7195</v>
      </c>
      <c r="AC87">
        <v>52787</v>
      </c>
      <c r="AD87">
        <v>52787</v>
      </c>
      <c r="AE87">
        <v>2878</v>
      </c>
      <c r="AF87">
        <v>14516</v>
      </c>
      <c r="AG87">
        <v>14516</v>
      </c>
      <c r="AH87">
        <v>791</v>
      </c>
      <c r="AI87">
        <v>0</v>
      </c>
      <c r="AJ87">
        <v>0</v>
      </c>
      <c r="AK87">
        <v>0</v>
      </c>
      <c r="AL87">
        <v>10000</v>
      </c>
      <c r="AM87">
        <v>10000</v>
      </c>
      <c r="AN87">
        <v>0</v>
      </c>
      <c r="AO87">
        <v>0</v>
      </c>
      <c r="AP87">
        <v>0</v>
      </c>
      <c r="AQ87">
        <v>0</v>
      </c>
      <c r="AR87">
        <v>104811</v>
      </c>
      <c r="AS87">
        <v>104811</v>
      </c>
      <c r="AT87">
        <v>6259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331204</v>
      </c>
      <c r="BI87">
        <v>331204</v>
      </c>
      <c r="BJ87">
        <v>0</v>
      </c>
      <c r="BK87">
        <v>0</v>
      </c>
      <c r="BL87">
        <v>60712</v>
      </c>
      <c r="BM87">
        <v>200</v>
      </c>
      <c r="BN87">
        <v>0</v>
      </c>
      <c r="BO87">
        <v>0</v>
      </c>
      <c r="BP87">
        <v>15836</v>
      </c>
      <c r="BQ87">
        <v>863</v>
      </c>
      <c r="BR87">
        <v>15836</v>
      </c>
      <c r="BS87">
        <v>863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77611</v>
      </c>
      <c r="CZ87">
        <v>253593</v>
      </c>
      <c r="DA87" t="s">
        <v>118</v>
      </c>
      <c r="DB87" t="s">
        <v>118</v>
      </c>
      <c r="DC87">
        <v>253593</v>
      </c>
      <c r="DE87">
        <v>225301</v>
      </c>
      <c r="DF87">
        <f t="shared" si="1"/>
        <v>28292</v>
      </c>
      <c r="DG87" t="s">
        <v>204</v>
      </c>
    </row>
    <row r="88" spans="1:111">
      <c r="A88" t="s">
        <v>656</v>
      </c>
      <c r="B88" t="s">
        <v>657</v>
      </c>
      <c r="C88" t="s">
        <v>182</v>
      </c>
      <c r="D88" t="s">
        <v>658</v>
      </c>
      <c r="E88" t="s">
        <v>113</v>
      </c>
      <c r="F88" t="s">
        <v>114</v>
      </c>
      <c r="G88" t="s">
        <v>115</v>
      </c>
      <c r="H88" t="s">
        <v>113</v>
      </c>
      <c r="I88" t="s">
        <v>116</v>
      </c>
      <c r="J88" t="s">
        <v>117</v>
      </c>
      <c r="K88" t="s">
        <v>118</v>
      </c>
      <c r="L88" t="s">
        <v>118</v>
      </c>
      <c r="M88" t="s">
        <v>113</v>
      </c>
      <c r="N88" t="s">
        <v>199</v>
      </c>
      <c r="O88" t="s">
        <v>118</v>
      </c>
      <c r="P88" t="s">
        <v>117</v>
      </c>
      <c r="Q88" t="s">
        <v>117</v>
      </c>
      <c r="R88" t="s">
        <v>652</v>
      </c>
      <c r="S88" t="s">
        <v>169</v>
      </c>
      <c r="T88" t="s">
        <v>121</v>
      </c>
      <c r="U88" t="s">
        <v>122</v>
      </c>
      <c r="V88" t="s">
        <v>659</v>
      </c>
      <c r="W88" t="s">
        <v>135</v>
      </c>
      <c r="X88" t="s">
        <v>660</v>
      </c>
      <c r="Y88" t="s">
        <v>661</v>
      </c>
      <c r="Z88">
        <v>136603</v>
      </c>
      <c r="AA88">
        <v>136603</v>
      </c>
      <c r="AB88">
        <v>7447</v>
      </c>
      <c r="AC88">
        <v>54641</v>
      </c>
      <c r="AD88">
        <v>54641</v>
      </c>
      <c r="AE88">
        <v>2978</v>
      </c>
      <c r="AF88">
        <v>15026</v>
      </c>
      <c r="AG88">
        <v>15026</v>
      </c>
      <c r="AH88">
        <v>819</v>
      </c>
      <c r="AI88">
        <v>0</v>
      </c>
      <c r="AJ88">
        <v>0</v>
      </c>
      <c r="AK88">
        <v>0</v>
      </c>
      <c r="AL88">
        <v>10000</v>
      </c>
      <c r="AM88">
        <v>10000</v>
      </c>
      <c r="AN88">
        <v>0</v>
      </c>
      <c r="AO88">
        <v>0</v>
      </c>
      <c r="AP88">
        <v>0</v>
      </c>
      <c r="AQ88">
        <v>0</v>
      </c>
      <c r="AR88">
        <v>108846</v>
      </c>
      <c r="AS88">
        <v>108846</v>
      </c>
      <c r="AT88">
        <v>6480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342840</v>
      </c>
      <c r="BI88">
        <v>342840</v>
      </c>
      <c r="BJ88">
        <v>0</v>
      </c>
      <c r="BK88">
        <v>0</v>
      </c>
      <c r="BL88">
        <v>58148</v>
      </c>
      <c r="BM88">
        <v>200</v>
      </c>
      <c r="BN88">
        <v>0</v>
      </c>
      <c r="BO88">
        <v>0</v>
      </c>
      <c r="BP88">
        <v>16392</v>
      </c>
      <c r="BQ88">
        <v>894</v>
      </c>
      <c r="BR88">
        <v>16392</v>
      </c>
      <c r="BS88">
        <v>894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75634</v>
      </c>
      <c r="CZ88">
        <v>267206</v>
      </c>
      <c r="DA88" t="s">
        <v>118</v>
      </c>
      <c r="DB88" t="s">
        <v>118</v>
      </c>
      <c r="DC88">
        <v>267206</v>
      </c>
      <c r="DE88">
        <v>238122</v>
      </c>
      <c r="DF88">
        <f t="shared" si="1"/>
        <v>29084</v>
      </c>
      <c r="DG88" t="s">
        <v>204</v>
      </c>
    </row>
    <row r="89" spans="1:111">
      <c r="A89" t="s">
        <v>662</v>
      </c>
      <c r="B89" t="s">
        <v>663</v>
      </c>
      <c r="C89" t="s">
        <v>158</v>
      </c>
      <c r="D89" t="s">
        <v>664</v>
      </c>
      <c r="E89" t="s">
        <v>113</v>
      </c>
      <c r="F89" t="s">
        <v>114</v>
      </c>
      <c r="G89" t="s">
        <v>115</v>
      </c>
      <c r="H89" t="s">
        <v>113</v>
      </c>
      <c r="I89" t="s">
        <v>116</v>
      </c>
      <c r="J89" t="s">
        <v>117</v>
      </c>
      <c r="K89" t="s">
        <v>118</v>
      </c>
      <c r="L89" t="s">
        <v>118</v>
      </c>
      <c r="M89" t="s">
        <v>113</v>
      </c>
      <c r="N89" t="s">
        <v>199</v>
      </c>
      <c r="O89" t="s">
        <v>118</v>
      </c>
      <c r="P89" t="s">
        <v>117</v>
      </c>
      <c r="Q89" t="s">
        <v>117</v>
      </c>
      <c r="R89" t="s">
        <v>285</v>
      </c>
      <c r="S89" t="s">
        <v>169</v>
      </c>
      <c r="T89" t="s">
        <v>121</v>
      </c>
      <c r="U89" t="s">
        <v>122</v>
      </c>
      <c r="V89" t="s">
        <v>665</v>
      </c>
      <c r="W89" t="s">
        <v>135</v>
      </c>
      <c r="X89" t="s">
        <v>666</v>
      </c>
      <c r="Y89" t="s">
        <v>667</v>
      </c>
      <c r="Z89">
        <v>65857</v>
      </c>
      <c r="AA89">
        <v>65857</v>
      </c>
      <c r="AB89">
        <v>6313</v>
      </c>
      <c r="AC89">
        <v>26343</v>
      </c>
      <c r="AD89">
        <v>26343</v>
      </c>
      <c r="AE89">
        <v>2526</v>
      </c>
      <c r="AF89">
        <v>7244</v>
      </c>
      <c r="AG89">
        <v>7244</v>
      </c>
      <c r="AH89">
        <v>694</v>
      </c>
      <c r="AI89">
        <v>0</v>
      </c>
      <c r="AJ89">
        <v>0</v>
      </c>
      <c r="AK89">
        <v>0</v>
      </c>
      <c r="AL89">
        <v>10000</v>
      </c>
      <c r="AM89">
        <v>10000</v>
      </c>
      <c r="AN89">
        <v>0</v>
      </c>
      <c r="AO89">
        <v>0</v>
      </c>
      <c r="AP89">
        <v>0</v>
      </c>
      <c r="AQ89">
        <v>0</v>
      </c>
      <c r="AR89">
        <v>47296</v>
      </c>
      <c r="AS89">
        <v>47296</v>
      </c>
      <c r="AT89">
        <v>5493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171766</v>
      </c>
      <c r="BI89">
        <v>171766</v>
      </c>
      <c r="BJ89">
        <v>0</v>
      </c>
      <c r="BK89">
        <v>0</v>
      </c>
      <c r="BL89">
        <v>14530</v>
      </c>
      <c r="BM89">
        <v>200</v>
      </c>
      <c r="BN89">
        <v>0</v>
      </c>
      <c r="BO89">
        <v>0</v>
      </c>
      <c r="BP89">
        <v>7903</v>
      </c>
      <c r="BQ89">
        <v>757</v>
      </c>
      <c r="BR89">
        <v>7903</v>
      </c>
      <c r="BS89">
        <v>757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23390</v>
      </c>
      <c r="CZ89">
        <v>148376</v>
      </c>
      <c r="DA89" t="s">
        <v>118</v>
      </c>
      <c r="DB89" t="s">
        <v>118</v>
      </c>
      <c r="DC89">
        <v>148376</v>
      </c>
      <c r="DE89">
        <v>121250</v>
      </c>
      <c r="DF89">
        <f t="shared" si="1"/>
        <v>27126</v>
      </c>
      <c r="DG89" t="s">
        <v>204</v>
      </c>
    </row>
    <row r="90" spans="1:111">
      <c r="A90" t="s">
        <v>668</v>
      </c>
      <c r="B90" t="s">
        <v>669</v>
      </c>
      <c r="C90" t="s">
        <v>182</v>
      </c>
      <c r="D90" t="s">
        <v>670</v>
      </c>
      <c r="E90" t="s">
        <v>113</v>
      </c>
      <c r="F90" t="s">
        <v>114</v>
      </c>
      <c r="G90" t="s">
        <v>115</v>
      </c>
      <c r="H90" t="s">
        <v>113</v>
      </c>
      <c r="I90" t="s">
        <v>116</v>
      </c>
      <c r="J90" t="s">
        <v>117</v>
      </c>
      <c r="K90" t="s">
        <v>671</v>
      </c>
      <c r="L90" t="s">
        <v>118</v>
      </c>
      <c r="M90" t="s">
        <v>113</v>
      </c>
      <c r="N90" t="s">
        <v>199</v>
      </c>
      <c r="O90" t="s">
        <v>118</v>
      </c>
      <c r="P90" t="s">
        <v>672</v>
      </c>
      <c r="Q90" t="s">
        <v>117</v>
      </c>
      <c r="R90" t="s">
        <v>652</v>
      </c>
      <c r="S90" t="s">
        <v>169</v>
      </c>
      <c r="T90" t="s">
        <v>121</v>
      </c>
      <c r="U90" t="s">
        <v>122</v>
      </c>
      <c r="V90" t="s">
        <v>673</v>
      </c>
      <c r="W90" t="s">
        <v>135</v>
      </c>
      <c r="X90" t="s">
        <v>674</v>
      </c>
      <c r="Y90" t="s">
        <v>675</v>
      </c>
      <c r="Z90">
        <v>103204</v>
      </c>
      <c r="AA90">
        <v>99875</v>
      </c>
      <c r="AB90">
        <v>5059</v>
      </c>
      <c r="AC90">
        <v>41282</v>
      </c>
      <c r="AD90">
        <v>39950</v>
      </c>
      <c r="AE90">
        <v>2024</v>
      </c>
      <c r="AF90">
        <v>11353</v>
      </c>
      <c r="AG90">
        <v>10987</v>
      </c>
      <c r="AH90">
        <v>557</v>
      </c>
      <c r="AI90">
        <v>0</v>
      </c>
      <c r="AJ90">
        <v>0</v>
      </c>
      <c r="AK90">
        <v>0</v>
      </c>
      <c r="AL90">
        <v>10000</v>
      </c>
      <c r="AM90">
        <v>9677</v>
      </c>
      <c r="AN90">
        <v>0</v>
      </c>
      <c r="AO90">
        <v>0</v>
      </c>
      <c r="AP90">
        <v>0</v>
      </c>
      <c r="AQ90">
        <v>0</v>
      </c>
      <c r="AR90">
        <v>90371</v>
      </c>
      <c r="AS90">
        <v>87456</v>
      </c>
      <c r="AT90">
        <v>5008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260593</v>
      </c>
      <c r="BI90">
        <v>260593</v>
      </c>
      <c r="BJ90">
        <v>0</v>
      </c>
      <c r="BK90">
        <v>0</v>
      </c>
      <c r="BL90">
        <v>40457</v>
      </c>
      <c r="BM90">
        <v>200</v>
      </c>
      <c r="BN90">
        <v>0</v>
      </c>
      <c r="BO90">
        <v>0</v>
      </c>
      <c r="BP90">
        <v>1800</v>
      </c>
      <c r="BQ90">
        <v>0</v>
      </c>
      <c r="BR90">
        <v>1800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42457</v>
      </c>
      <c r="CZ90">
        <v>218136</v>
      </c>
      <c r="DA90" t="s">
        <v>118</v>
      </c>
      <c r="DB90" t="s">
        <v>118</v>
      </c>
      <c r="DC90">
        <v>218136</v>
      </c>
      <c r="DE90">
        <v>202236</v>
      </c>
      <c r="DF90">
        <f t="shared" si="1"/>
        <v>15900</v>
      </c>
      <c r="DG90" t="s">
        <v>676</v>
      </c>
    </row>
    <row r="91" spans="1:111">
      <c r="A91" t="s">
        <v>677</v>
      </c>
      <c r="B91" t="s">
        <v>678</v>
      </c>
      <c r="C91" t="s">
        <v>182</v>
      </c>
      <c r="D91" t="s">
        <v>679</v>
      </c>
      <c r="E91" t="s">
        <v>113</v>
      </c>
      <c r="F91" t="s">
        <v>114</v>
      </c>
      <c r="G91" t="s">
        <v>115</v>
      </c>
      <c r="H91" t="s">
        <v>113</v>
      </c>
      <c r="I91" t="s">
        <v>116</v>
      </c>
      <c r="J91" t="s">
        <v>117</v>
      </c>
      <c r="K91" t="s">
        <v>118</v>
      </c>
      <c r="L91" t="s">
        <v>118</v>
      </c>
      <c r="M91" t="s">
        <v>113</v>
      </c>
      <c r="N91" t="s">
        <v>199</v>
      </c>
      <c r="O91" t="s">
        <v>118</v>
      </c>
      <c r="P91" t="s">
        <v>117</v>
      </c>
      <c r="Q91" t="s">
        <v>117</v>
      </c>
      <c r="R91" t="s">
        <v>680</v>
      </c>
      <c r="S91" t="s">
        <v>169</v>
      </c>
      <c r="T91" t="s">
        <v>121</v>
      </c>
      <c r="U91" t="s">
        <v>122</v>
      </c>
      <c r="V91" t="s">
        <v>681</v>
      </c>
      <c r="W91" t="s">
        <v>135</v>
      </c>
      <c r="X91" t="s">
        <v>682</v>
      </c>
      <c r="Y91" t="s">
        <v>683</v>
      </c>
      <c r="Z91">
        <v>59760</v>
      </c>
      <c r="AA91">
        <v>59760</v>
      </c>
      <c r="AB91">
        <v>3831</v>
      </c>
      <c r="AC91">
        <v>23904</v>
      </c>
      <c r="AD91">
        <v>23904</v>
      </c>
      <c r="AE91">
        <v>1533</v>
      </c>
      <c r="AF91">
        <v>6574</v>
      </c>
      <c r="AG91">
        <v>6574</v>
      </c>
      <c r="AH91">
        <v>422</v>
      </c>
      <c r="AI91">
        <v>0</v>
      </c>
      <c r="AJ91">
        <v>0</v>
      </c>
      <c r="AK91">
        <v>0</v>
      </c>
      <c r="AL91">
        <v>10000</v>
      </c>
      <c r="AM91">
        <v>10000</v>
      </c>
      <c r="AN91">
        <v>0</v>
      </c>
      <c r="AO91">
        <v>0</v>
      </c>
      <c r="AP91">
        <v>0</v>
      </c>
      <c r="AQ91">
        <v>0</v>
      </c>
      <c r="AR91">
        <v>47361</v>
      </c>
      <c r="AS91">
        <v>47361</v>
      </c>
      <c r="AT91">
        <v>3792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157177</v>
      </c>
      <c r="BI91">
        <v>157177</v>
      </c>
      <c r="BJ91">
        <v>0</v>
      </c>
      <c r="BK91">
        <v>0</v>
      </c>
      <c r="BL91">
        <v>12213</v>
      </c>
      <c r="BM91">
        <v>200</v>
      </c>
      <c r="BN91">
        <v>0</v>
      </c>
      <c r="BO91">
        <v>0</v>
      </c>
      <c r="BP91">
        <v>1800</v>
      </c>
      <c r="BQ91">
        <v>0</v>
      </c>
      <c r="BR91">
        <v>1800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14213</v>
      </c>
      <c r="CZ91">
        <v>142964</v>
      </c>
      <c r="DA91" t="s">
        <v>118</v>
      </c>
      <c r="DB91" t="s">
        <v>118</v>
      </c>
      <c r="DC91">
        <v>142964</v>
      </c>
      <c r="DE91">
        <v>124249</v>
      </c>
      <c r="DF91">
        <f t="shared" si="1"/>
        <v>18715</v>
      </c>
      <c r="DG91" t="s">
        <v>204</v>
      </c>
    </row>
    <row r="92" spans="1:111">
      <c r="A92" t="s">
        <v>684</v>
      </c>
      <c r="B92" t="s">
        <v>685</v>
      </c>
      <c r="C92" t="s">
        <v>505</v>
      </c>
      <c r="D92" t="s">
        <v>686</v>
      </c>
      <c r="E92" t="s">
        <v>113</v>
      </c>
      <c r="F92" t="s">
        <v>114</v>
      </c>
      <c r="G92" t="s">
        <v>115</v>
      </c>
      <c r="H92" t="s">
        <v>113</v>
      </c>
      <c r="I92" t="s">
        <v>116</v>
      </c>
      <c r="J92" t="s">
        <v>117</v>
      </c>
      <c r="K92" t="s">
        <v>118</v>
      </c>
      <c r="L92" t="s">
        <v>118</v>
      </c>
      <c r="M92" t="s">
        <v>113</v>
      </c>
      <c r="N92" t="s">
        <v>199</v>
      </c>
      <c r="O92" t="s">
        <v>118</v>
      </c>
      <c r="P92" t="s">
        <v>117</v>
      </c>
      <c r="Q92" t="s">
        <v>117</v>
      </c>
      <c r="R92" t="s">
        <v>687</v>
      </c>
      <c r="S92" t="s">
        <v>169</v>
      </c>
      <c r="T92" t="s">
        <v>121</v>
      </c>
      <c r="U92" t="s">
        <v>122</v>
      </c>
      <c r="V92" t="s">
        <v>688</v>
      </c>
      <c r="W92" t="s">
        <v>135</v>
      </c>
      <c r="X92" t="s">
        <v>689</v>
      </c>
      <c r="Y92" t="s">
        <v>690</v>
      </c>
      <c r="Z92">
        <v>11051</v>
      </c>
      <c r="AA92">
        <v>11051</v>
      </c>
      <c r="AB92">
        <v>-513</v>
      </c>
      <c r="AC92">
        <v>4420</v>
      </c>
      <c r="AD92">
        <v>4420</v>
      </c>
      <c r="AE92">
        <v>-206</v>
      </c>
      <c r="AF92">
        <v>1216</v>
      </c>
      <c r="AG92">
        <v>1216</v>
      </c>
      <c r="AH92">
        <v>-56</v>
      </c>
      <c r="AI92">
        <v>0</v>
      </c>
      <c r="AJ92">
        <v>0</v>
      </c>
      <c r="AK92">
        <v>0</v>
      </c>
      <c r="AL92">
        <v>2763</v>
      </c>
      <c r="AM92">
        <v>2763</v>
      </c>
      <c r="AN92">
        <v>-128</v>
      </c>
      <c r="AO92">
        <v>0</v>
      </c>
      <c r="AP92">
        <v>0</v>
      </c>
      <c r="AQ92">
        <v>0</v>
      </c>
      <c r="AR92">
        <v>6376</v>
      </c>
      <c r="AS92">
        <v>6376</v>
      </c>
      <c r="AT92">
        <v>2206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27129</v>
      </c>
      <c r="BI92">
        <v>27129</v>
      </c>
      <c r="BJ92">
        <v>0</v>
      </c>
      <c r="BK92">
        <v>0</v>
      </c>
      <c r="BL92">
        <v>0</v>
      </c>
      <c r="BM92">
        <v>200</v>
      </c>
      <c r="BN92">
        <v>0</v>
      </c>
      <c r="BO92">
        <v>0</v>
      </c>
      <c r="BP92">
        <v>1800</v>
      </c>
      <c r="BQ92">
        <v>0</v>
      </c>
      <c r="BR92">
        <v>1800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2000</v>
      </c>
      <c r="CZ92">
        <v>25129</v>
      </c>
      <c r="DA92" t="s">
        <v>118</v>
      </c>
      <c r="DB92" t="s">
        <v>118</v>
      </c>
      <c r="DC92">
        <v>25129</v>
      </c>
      <c r="DE92">
        <v>22263</v>
      </c>
      <c r="DF92">
        <f t="shared" si="1"/>
        <v>2866</v>
      </c>
      <c r="DG92" t="s">
        <v>204</v>
      </c>
    </row>
    <row r="93" spans="1:111" s="5" customFormat="1">
      <c r="A93" s="5" t="s">
        <v>691</v>
      </c>
      <c r="B93" s="5" t="s">
        <v>692</v>
      </c>
      <c r="C93" t="s">
        <v>505</v>
      </c>
      <c r="D93" s="5" t="s">
        <v>686</v>
      </c>
      <c r="E93" s="5" t="s">
        <v>113</v>
      </c>
      <c r="F93" s="5" t="s">
        <v>114</v>
      </c>
      <c r="G93" s="5" t="s">
        <v>115</v>
      </c>
      <c r="H93" s="5" t="s">
        <v>113</v>
      </c>
      <c r="I93" s="5" t="s">
        <v>116</v>
      </c>
      <c r="J93" s="5" t="s">
        <v>117</v>
      </c>
      <c r="K93" s="5" t="s">
        <v>118</v>
      </c>
      <c r="L93" s="5" t="s">
        <v>118</v>
      </c>
      <c r="M93" s="5" t="s">
        <v>113</v>
      </c>
      <c r="N93" s="5" t="s">
        <v>199</v>
      </c>
      <c r="O93" s="5" t="s">
        <v>118</v>
      </c>
      <c r="P93" s="5" t="s">
        <v>117</v>
      </c>
      <c r="Q93" s="5" t="s">
        <v>117</v>
      </c>
      <c r="R93" s="5" t="s">
        <v>687</v>
      </c>
      <c r="S93" s="5" t="s">
        <v>169</v>
      </c>
      <c r="T93" s="5" t="s">
        <v>121</v>
      </c>
      <c r="U93" s="5" t="s">
        <v>122</v>
      </c>
      <c r="V93" s="5" t="s">
        <v>693</v>
      </c>
      <c r="W93" s="5" t="s">
        <v>135</v>
      </c>
      <c r="X93" s="5" t="s">
        <v>694</v>
      </c>
      <c r="Y93" s="5" t="s">
        <v>695</v>
      </c>
      <c r="Z93" s="5">
        <v>15429</v>
      </c>
      <c r="AA93" s="5">
        <v>15429</v>
      </c>
      <c r="AB93" s="5">
        <v>3135</v>
      </c>
      <c r="AC93" s="5">
        <v>6172</v>
      </c>
      <c r="AD93" s="5">
        <v>6172</v>
      </c>
      <c r="AE93" s="5">
        <v>1254</v>
      </c>
      <c r="AF93" s="5">
        <v>1697</v>
      </c>
      <c r="AG93" s="5">
        <v>1697</v>
      </c>
      <c r="AH93" s="5">
        <v>345</v>
      </c>
      <c r="AI93" s="5">
        <v>0</v>
      </c>
      <c r="AJ93" s="5">
        <v>0</v>
      </c>
      <c r="AK93" s="5">
        <v>0</v>
      </c>
      <c r="AL93" s="5">
        <v>3857</v>
      </c>
      <c r="AM93" s="5">
        <v>3857</v>
      </c>
      <c r="AN93" s="5">
        <v>783</v>
      </c>
      <c r="AO93" s="5">
        <v>0</v>
      </c>
      <c r="AP93" s="5" t="s">
        <v>118</v>
      </c>
      <c r="AQ93" s="5">
        <v>0</v>
      </c>
      <c r="AR93" s="5">
        <v>9618</v>
      </c>
      <c r="AS93" s="5">
        <v>9618</v>
      </c>
      <c r="AT93" s="5">
        <v>4908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47198</v>
      </c>
      <c r="BI93" s="5">
        <v>47198</v>
      </c>
      <c r="BJ93" s="5">
        <v>0</v>
      </c>
      <c r="BK93" s="5">
        <v>0</v>
      </c>
      <c r="BL93" s="5">
        <v>0</v>
      </c>
      <c r="BM93" s="5">
        <v>200</v>
      </c>
      <c r="BN93" s="5">
        <v>0</v>
      </c>
      <c r="BO93" s="5">
        <v>0</v>
      </c>
      <c r="BP93" s="5">
        <v>1800</v>
      </c>
      <c r="BQ93" s="5">
        <v>0</v>
      </c>
      <c r="BR93" s="5">
        <v>1800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2000</v>
      </c>
      <c r="CZ93" s="5">
        <v>45198</v>
      </c>
      <c r="DA93" s="5" t="s">
        <v>118</v>
      </c>
      <c r="DB93" s="5" t="s">
        <v>118</v>
      </c>
      <c r="DC93" s="5">
        <v>45198</v>
      </c>
      <c r="DE93" s="5">
        <v>22263</v>
      </c>
      <c r="DF93" s="5">
        <f>DC93-DE93</f>
        <v>22935</v>
      </c>
    </row>
    <row r="94" spans="1:111">
      <c r="A94" t="s">
        <v>696</v>
      </c>
      <c r="B94" t="s">
        <v>697</v>
      </c>
      <c r="C94" t="s">
        <v>505</v>
      </c>
      <c r="D94" t="s">
        <v>686</v>
      </c>
      <c r="E94" t="s">
        <v>113</v>
      </c>
      <c r="F94" t="s">
        <v>114</v>
      </c>
      <c r="G94" t="s">
        <v>115</v>
      </c>
      <c r="H94" t="s">
        <v>113</v>
      </c>
      <c r="I94" t="s">
        <v>116</v>
      </c>
      <c r="J94" t="s">
        <v>117</v>
      </c>
      <c r="K94" t="s">
        <v>118</v>
      </c>
      <c r="L94" t="s">
        <v>118</v>
      </c>
      <c r="M94" t="s">
        <v>113</v>
      </c>
      <c r="N94" t="s">
        <v>199</v>
      </c>
      <c r="O94" t="s">
        <v>118</v>
      </c>
      <c r="P94" t="s">
        <v>117</v>
      </c>
      <c r="Q94" t="s">
        <v>117</v>
      </c>
      <c r="R94" t="s">
        <v>687</v>
      </c>
      <c r="S94" t="s">
        <v>169</v>
      </c>
      <c r="T94" t="s">
        <v>121</v>
      </c>
      <c r="U94" t="s">
        <v>122</v>
      </c>
      <c r="V94" t="s">
        <v>698</v>
      </c>
      <c r="W94" t="s">
        <v>135</v>
      </c>
      <c r="X94" t="s">
        <v>699</v>
      </c>
      <c r="Y94" t="s">
        <v>700</v>
      </c>
      <c r="Z94">
        <v>11468</v>
      </c>
      <c r="AA94">
        <v>11468</v>
      </c>
      <c r="AB94">
        <v>-166</v>
      </c>
      <c r="AC94">
        <v>4587</v>
      </c>
      <c r="AD94">
        <v>4587</v>
      </c>
      <c r="AE94">
        <v>-67</v>
      </c>
      <c r="AF94">
        <v>1261</v>
      </c>
      <c r="AG94">
        <v>1261</v>
      </c>
      <c r="AH94">
        <v>-18</v>
      </c>
      <c r="AI94">
        <v>0</v>
      </c>
      <c r="AJ94">
        <v>0</v>
      </c>
      <c r="AK94">
        <v>0</v>
      </c>
      <c r="AL94">
        <v>2867</v>
      </c>
      <c r="AM94">
        <v>2867</v>
      </c>
      <c r="AN94">
        <v>-42</v>
      </c>
      <c r="AO94">
        <v>0</v>
      </c>
      <c r="AP94">
        <v>0</v>
      </c>
      <c r="AQ94">
        <v>0</v>
      </c>
      <c r="AR94">
        <v>6686</v>
      </c>
      <c r="AS94">
        <v>6686</v>
      </c>
      <c r="AT94">
        <v>2464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29040</v>
      </c>
      <c r="BI94">
        <v>29040</v>
      </c>
      <c r="BJ94">
        <v>0</v>
      </c>
      <c r="BK94">
        <v>0</v>
      </c>
      <c r="BL94">
        <v>0</v>
      </c>
      <c r="BM94">
        <v>200</v>
      </c>
      <c r="BN94">
        <v>0</v>
      </c>
      <c r="BO94">
        <v>0</v>
      </c>
      <c r="BP94">
        <v>1800</v>
      </c>
      <c r="BQ94">
        <v>0</v>
      </c>
      <c r="BR94">
        <v>1800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2000</v>
      </c>
      <c r="CZ94">
        <v>27040</v>
      </c>
      <c r="DA94" t="s">
        <v>118</v>
      </c>
      <c r="DB94" t="s">
        <v>118</v>
      </c>
      <c r="DC94">
        <v>27040</v>
      </c>
      <c r="DE94">
        <v>22263</v>
      </c>
      <c r="DF94">
        <f t="shared" si="1"/>
        <v>4777</v>
      </c>
      <c r="DG94" t="s">
        <v>204</v>
      </c>
    </row>
    <row r="95" spans="1:111">
      <c r="A95" t="s">
        <v>701</v>
      </c>
      <c r="B95" t="s">
        <v>702</v>
      </c>
      <c r="C95" t="s">
        <v>505</v>
      </c>
      <c r="D95" t="s">
        <v>686</v>
      </c>
      <c r="E95" t="s">
        <v>113</v>
      </c>
      <c r="F95" t="s">
        <v>114</v>
      </c>
      <c r="G95" t="s">
        <v>115</v>
      </c>
      <c r="H95" t="s">
        <v>113</v>
      </c>
      <c r="I95" t="s">
        <v>116</v>
      </c>
      <c r="J95" t="s">
        <v>117</v>
      </c>
      <c r="K95" t="s">
        <v>118</v>
      </c>
      <c r="L95" t="s">
        <v>118</v>
      </c>
      <c r="M95" t="s">
        <v>113</v>
      </c>
      <c r="N95" t="s">
        <v>199</v>
      </c>
      <c r="O95" t="s">
        <v>118</v>
      </c>
      <c r="P95" t="s">
        <v>117</v>
      </c>
      <c r="Q95" t="s">
        <v>117</v>
      </c>
      <c r="R95" t="s">
        <v>687</v>
      </c>
      <c r="S95" t="s">
        <v>169</v>
      </c>
      <c r="T95" t="s">
        <v>121</v>
      </c>
      <c r="U95" t="s">
        <v>122</v>
      </c>
      <c r="V95" t="s">
        <v>703</v>
      </c>
      <c r="W95" t="s">
        <v>135</v>
      </c>
      <c r="X95" t="s">
        <v>699</v>
      </c>
      <c r="Y95" t="s">
        <v>704</v>
      </c>
      <c r="Z95">
        <v>11468</v>
      </c>
      <c r="AA95">
        <v>11468</v>
      </c>
      <c r="AB95">
        <v>-166</v>
      </c>
      <c r="AC95">
        <v>4587</v>
      </c>
      <c r="AD95">
        <v>4587</v>
      </c>
      <c r="AE95">
        <v>-67</v>
      </c>
      <c r="AF95">
        <v>1261</v>
      </c>
      <c r="AG95">
        <v>1261</v>
      </c>
      <c r="AH95">
        <v>-18</v>
      </c>
      <c r="AI95">
        <v>0</v>
      </c>
      <c r="AJ95">
        <v>0</v>
      </c>
      <c r="AK95">
        <v>0</v>
      </c>
      <c r="AL95">
        <v>2867</v>
      </c>
      <c r="AM95">
        <v>2867</v>
      </c>
      <c r="AN95">
        <v>-42</v>
      </c>
      <c r="AO95">
        <v>0</v>
      </c>
      <c r="AP95">
        <v>0</v>
      </c>
      <c r="AQ95">
        <v>0</v>
      </c>
      <c r="AR95">
        <v>6686</v>
      </c>
      <c r="AS95">
        <v>6686</v>
      </c>
      <c r="AT95">
        <v>2464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29040</v>
      </c>
      <c r="BI95">
        <v>29040</v>
      </c>
      <c r="BJ95">
        <v>0</v>
      </c>
      <c r="BK95">
        <v>0</v>
      </c>
      <c r="BL95">
        <v>0</v>
      </c>
      <c r="BM95">
        <v>200</v>
      </c>
      <c r="BN95">
        <v>0</v>
      </c>
      <c r="BO95">
        <v>0</v>
      </c>
      <c r="BP95">
        <v>1800</v>
      </c>
      <c r="BQ95">
        <v>0</v>
      </c>
      <c r="BR95">
        <v>1800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2000</v>
      </c>
      <c r="CZ95">
        <v>27040</v>
      </c>
      <c r="DA95" t="s">
        <v>118</v>
      </c>
      <c r="DB95" t="s">
        <v>118</v>
      </c>
      <c r="DC95">
        <v>27040</v>
      </c>
      <c r="DE95">
        <v>22263</v>
      </c>
      <c r="DF95">
        <f t="shared" si="1"/>
        <v>4777</v>
      </c>
      <c r="DG95" t="s">
        <v>204</v>
      </c>
    </row>
    <row r="96" spans="1:111">
      <c r="A96" t="s">
        <v>705</v>
      </c>
      <c r="B96" t="s">
        <v>706</v>
      </c>
      <c r="C96" t="s">
        <v>158</v>
      </c>
      <c r="D96" t="s">
        <v>686</v>
      </c>
      <c r="E96" t="s">
        <v>113</v>
      </c>
      <c r="F96" t="s">
        <v>114</v>
      </c>
      <c r="G96" t="s">
        <v>115</v>
      </c>
      <c r="H96" t="s">
        <v>113</v>
      </c>
      <c r="I96" t="s">
        <v>116</v>
      </c>
      <c r="J96" t="s">
        <v>117</v>
      </c>
      <c r="K96" t="s">
        <v>118</v>
      </c>
      <c r="L96" t="s">
        <v>118</v>
      </c>
      <c r="M96" t="s">
        <v>113</v>
      </c>
      <c r="N96" t="s">
        <v>199</v>
      </c>
      <c r="O96" t="s">
        <v>118</v>
      </c>
      <c r="P96" t="s">
        <v>117</v>
      </c>
      <c r="Q96" t="s">
        <v>117</v>
      </c>
      <c r="R96" t="s">
        <v>707</v>
      </c>
      <c r="S96" t="s">
        <v>169</v>
      </c>
      <c r="T96" t="s">
        <v>121</v>
      </c>
      <c r="U96" t="s">
        <v>122</v>
      </c>
      <c r="V96" t="s">
        <v>708</v>
      </c>
      <c r="W96" t="s">
        <v>135</v>
      </c>
      <c r="X96" t="s">
        <v>699</v>
      </c>
      <c r="Y96" t="s">
        <v>709</v>
      </c>
      <c r="Z96">
        <v>11468</v>
      </c>
      <c r="AA96">
        <v>11468</v>
      </c>
      <c r="AB96">
        <v>-166</v>
      </c>
      <c r="AC96">
        <v>4587</v>
      </c>
      <c r="AD96">
        <v>4587</v>
      </c>
      <c r="AE96">
        <v>-67</v>
      </c>
      <c r="AF96">
        <v>1261</v>
      </c>
      <c r="AG96">
        <v>1261</v>
      </c>
      <c r="AH96">
        <v>-18</v>
      </c>
      <c r="AI96">
        <v>0</v>
      </c>
      <c r="AJ96">
        <v>0</v>
      </c>
      <c r="AK96">
        <v>0</v>
      </c>
      <c r="AL96">
        <v>2867</v>
      </c>
      <c r="AM96">
        <v>2867</v>
      </c>
      <c r="AN96">
        <v>-42</v>
      </c>
      <c r="AO96">
        <v>0</v>
      </c>
      <c r="AP96">
        <v>0</v>
      </c>
      <c r="AQ96">
        <v>0</v>
      </c>
      <c r="AR96">
        <v>6686</v>
      </c>
      <c r="AS96">
        <v>6686</v>
      </c>
      <c r="AT96">
        <v>2464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29040</v>
      </c>
      <c r="BI96">
        <v>29040</v>
      </c>
      <c r="BJ96">
        <v>0</v>
      </c>
      <c r="BK96">
        <v>0</v>
      </c>
      <c r="BL96">
        <v>0</v>
      </c>
      <c r="BM96">
        <v>200</v>
      </c>
      <c r="BN96">
        <v>0</v>
      </c>
      <c r="BO96">
        <v>0</v>
      </c>
      <c r="BP96">
        <v>1800</v>
      </c>
      <c r="BQ96">
        <v>0</v>
      </c>
      <c r="BR96">
        <v>1800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2000</v>
      </c>
      <c r="CZ96">
        <v>27040</v>
      </c>
      <c r="DA96" t="s">
        <v>118</v>
      </c>
      <c r="DB96" t="s">
        <v>118</v>
      </c>
      <c r="DC96">
        <v>27040</v>
      </c>
      <c r="DE96">
        <v>22263</v>
      </c>
      <c r="DF96">
        <f t="shared" si="1"/>
        <v>4777</v>
      </c>
      <c r="DG96" t="s">
        <v>204</v>
      </c>
    </row>
    <row r="97" spans="1:111">
      <c r="A97" t="s">
        <v>710</v>
      </c>
      <c r="B97" t="s">
        <v>711</v>
      </c>
      <c r="C97" t="s">
        <v>158</v>
      </c>
      <c r="D97" t="s">
        <v>686</v>
      </c>
      <c r="E97" t="s">
        <v>113</v>
      </c>
      <c r="F97" t="s">
        <v>114</v>
      </c>
      <c r="G97" t="s">
        <v>115</v>
      </c>
      <c r="H97" t="s">
        <v>113</v>
      </c>
      <c r="I97" t="s">
        <v>116</v>
      </c>
      <c r="J97" t="s">
        <v>117</v>
      </c>
      <c r="K97" t="s">
        <v>118</v>
      </c>
      <c r="L97" t="s">
        <v>118</v>
      </c>
      <c r="M97" t="s">
        <v>113</v>
      </c>
      <c r="N97" t="s">
        <v>199</v>
      </c>
      <c r="O97" t="s">
        <v>118</v>
      </c>
      <c r="P97" t="s">
        <v>117</v>
      </c>
      <c r="Q97" t="s">
        <v>117</v>
      </c>
      <c r="R97" t="s">
        <v>707</v>
      </c>
      <c r="S97" t="s">
        <v>169</v>
      </c>
      <c r="T97" t="s">
        <v>121</v>
      </c>
      <c r="U97" t="s">
        <v>122</v>
      </c>
      <c r="V97" t="s">
        <v>712</v>
      </c>
      <c r="W97" t="s">
        <v>135</v>
      </c>
      <c r="X97" t="s">
        <v>699</v>
      </c>
      <c r="Y97" t="s">
        <v>713</v>
      </c>
      <c r="Z97">
        <v>11468</v>
      </c>
      <c r="AA97">
        <v>11468</v>
      </c>
      <c r="AB97">
        <v>-166</v>
      </c>
      <c r="AC97">
        <v>4587</v>
      </c>
      <c r="AD97">
        <v>4587</v>
      </c>
      <c r="AE97">
        <v>-67</v>
      </c>
      <c r="AF97">
        <v>1261</v>
      </c>
      <c r="AG97">
        <v>1261</v>
      </c>
      <c r="AH97">
        <v>-18</v>
      </c>
      <c r="AI97">
        <v>0</v>
      </c>
      <c r="AJ97">
        <v>0</v>
      </c>
      <c r="AK97">
        <v>0</v>
      </c>
      <c r="AL97">
        <v>2867</v>
      </c>
      <c r="AM97">
        <v>2867</v>
      </c>
      <c r="AN97">
        <v>-42</v>
      </c>
      <c r="AO97">
        <v>0</v>
      </c>
      <c r="AP97">
        <v>0</v>
      </c>
      <c r="AQ97">
        <v>0</v>
      </c>
      <c r="AR97">
        <v>6686</v>
      </c>
      <c r="AS97">
        <v>6686</v>
      </c>
      <c r="AT97">
        <v>2464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29040</v>
      </c>
      <c r="BI97">
        <v>29040</v>
      </c>
      <c r="BJ97">
        <v>0</v>
      </c>
      <c r="BK97">
        <v>0</v>
      </c>
      <c r="BL97">
        <v>0</v>
      </c>
      <c r="BM97">
        <v>200</v>
      </c>
      <c r="BN97">
        <v>0</v>
      </c>
      <c r="BO97">
        <v>0</v>
      </c>
      <c r="BP97">
        <v>1800</v>
      </c>
      <c r="BQ97">
        <v>0</v>
      </c>
      <c r="BR97">
        <v>1800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2000</v>
      </c>
      <c r="CZ97">
        <v>27040</v>
      </c>
      <c r="DA97" t="s">
        <v>118</v>
      </c>
      <c r="DB97" t="s">
        <v>118</v>
      </c>
      <c r="DC97">
        <v>27040</v>
      </c>
      <c r="DE97">
        <v>22263</v>
      </c>
      <c r="DF97">
        <f t="shared" si="1"/>
        <v>4777</v>
      </c>
      <c r="DG97" t="s">
        <v>204</v>
      </c>
    </row>
    <row r="98" spans="1:111">
      <c r="A98" t="s">
        <v>714</v>
      </c>
      <c r="B98" t="s">
        <v>715</v>
      </c>
      <c r="C98" t="s">
        <v>158</v>
      </c>
      <c r="D98" t="s">
        <v>686</v>
      </c>
      <c r="E98" t="s">
        <v>113</v>
      </c>
      <c r="F98" t="s">
        <v>114</v>
      </c>
      <c r="G98" t="s">
        <v>115</v>
      </c>
      <c r="H98" t="s">
        <v>113</v>
      </c>
      <c r="I98" t="s">
        <v>116</v>
      </c>
      <c r="J98" t="s">
        <v>117</v>
      </c>
      <c r="K98" t="s">
        <v>118</v>
      </c>
      <c r="L98" t="s">
        <v>118</v>
      </c>
      <c r="M98" t="s">
        <v>113</v>
      </c>
      <c r="N98" t="s">
        <v>199</v>
      </c>
      <c r="O98" t="s">
        <v>118</v>
      </c>
      <c r="P98" t="s">
        <v>117</v>
      </c>
      <c r="Q98" t="s">
        <v>117</v>
      </c>
      <c r="R98" t="s">
        <v>707</v>
      </c>
      <c r="S98" t="s">
        <v>169</v>
      </c>
      <c r="T98" t="s">
        <v>121</v>
      </c>
      <c r="U98" t="s">
        <v>122</v>
      </c>
      <c r="V98" t="s">
        <v>716</v>
      </c>
      <c r="W98" t="s">
        <v>135</v>
      </c>
      <c r="X98" t="s">
        <v>699</v>
      </c>
      <c r="Y98" t="s">
        <v>717</v>
      </c>
      <c r="Z98">
        <v>11468</v>
      </c>
      <c r="AA98">
        <v>11468</v>
      </c>
      <c r="AB98">
        <v>-166</v>
      </c>
      <c r="AC98">
        <v>4587</v>
      </c>
      <c r="AD98">
        <v>4587</v>
      </c>
      <c r="AE98">
        <v>-67</v>
      </c>
      <c r="AF98">
        <v>1261</v>
      </c>
      <c r="AG98">
        <v>1261</v>
      </c>
      <c r="AH98">
        <v>-18</v>
      </c>
      <c r="AI98">
        <v>0</v>
      </c>
      <c r="AJ98">
        <v>0</v>
      </c>
      <c r="AK98">
        <v>0</v>
      </c>
      <c r="AL98">
        <v>2867</v>
      </c>
      <c r="AM98">
        <v>2867</v>
      </c>
      <c r="AN98">
        <v>-42</v>
      </c>
      <c r="AO98">
        <v>0</v>
      </c>
      <c r="AP98">
        <v>0</v>
      </c>
      <c r="AQ98">
        <v>0</v>
      </c>
      <c r="AR98">
        <v>6686</v>
      </c>
      <c r="AS98">
        <v>6686</v>
      </c>
      <c r="AT98">
        <v>2464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29040</v>
      </c>
      <c r="BI98">
        <v>29040</v>
      </c>
      <c r="BJ98">
        <v>0</v>
      </c>
      <c r="BK98">
        <v>0</v>
      </c>
      <c r="BL98">
        <v>0</v>
      </c>
      <c r="BM98">
        <v>200</v>
      </c>
      <c r="BN98">
        <v>0</v>
      </c>
      <c r="BO98">
        <v>0</v>
      </c>
      <c r="BP98">
        <v>1800</v>
      </c>
      <c r="BQ98">
        <v>0</v>
      </c>
      <c r="BR98">
        <v>1800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2000</v>
      </c>
      <c r="CZ98">
        <v>27040</v>
      </c>
      <c r="DA98" t="s">
        <v>118</v>
      </c>
      <c r="DB98" t="s">
        <v>118</v>
      </c>
      <c r="DC98">
        <v>27040</v>
      </c>
      <c r="DE98">
        <v>22263</v>
      </c>
      <c r="DF98">
        <f t="shared" si="1"/>
        <v>4777</v>
      </c>
      <c r="DG98" t="s">
        <v>204</v>
      </c>
    </row>
    <row r="99" spans="1:111">
      <c r="A99" t="s">
        <v>718</v>
      </c>
      <c r="B99" t="s">
        <v>719</v>
      </c>
      <c r="C99" t="s">
        <v>158</v>
      </c>
      <c r="D99" t="s">
        <v>686</v>
      </c>
      <c r="E99" t="s">
        <v>113</v>
      </c>
      <c r="F99" t="s">
        <v>114</v>
      </c>
      <c r="G99" t="s">
        <v>115</v>
      </c>
      <c r="H99" t="s">
        <v>113</v>
      </c>
      <c r="I99" t="s">
        <v>116</v>
      </c>
      <c r="J99" t="s">
        <v>117</v>
      </c>
      <c r="K99" t="s">
        <v>118</v>
      </c>
      <c r="L99" t="s">
        <v>118</v>
      </c>
      <c r="M99" t="s">
        <v>113</v>
      </c>
      <c r="N99" t="s">
        <v>199</v>
      </c>
      <c r="O99" t="s">
        <v>118</v>
      </c>
      <c r="P99" t="s">
        <v>117</v>
      </c>
      <c r="Q99" t="s">
        <v>117</v>
      </c>
      <c r="R99" t="s">
        <v>707</v>
      </c>
      <c r="S99" t="s">
        <v>169</v>
      </c>
      <c r="T99" t="s">
        <v>121</v>
      </c>
      <c r="U99" t="s">
        <v>122</v>
      </c>
      <c r="V99" t="s">
        <v>720</v>
      </c>
      <c r="W99" t="s">
        <v>135</v>
      </c>
      <c r="X99" t="s">
        <v>699</v>
      </c>
      <c r="Y99" t="s">
        <v>721</v>
      </c>
      <c r="Z99">
        <v>11468</v>
      </c>
      <c r="AA99">
        <v>11468</v>
      </c>
      <c r="AB99">
        <v>-166</v>
      </c>
      <c r="AC99">
        <v>4587</v>
      </c>
      <c r="AD99">
        <v>4587</v>
      </c>
      <c r="AE99">
        <v>-67</v>
      </c>
      <c r="AF99">
        <v>1261</v>
      </c>
      <c r="AG99">
        <v>1261</v>
      </c>
      <c r="AH99">
        <v>-18</v>
      </c>
      <c r="AI99">
        <v>0</v>
      </c>
      <c r="AJ99">
        <v>0</v>
      </c>
      <c r="AK99">
        <v>0</v>
      </c>
      <c r="AL99">
        <v>2867</v>
      </c>
      <c r="AM99">
        <v>2867</v>
      </c>
      <c r="AN99">
        <v>-42</v>
      </c>
      <c r="AO99">
        <v>0</v>
      </c>
      <c r="AP99">
        <v>0</v>
      </c>
      <c r="AQ99">
        <v>0</v>
      </c>
      <c r="AR99">
        <v>6686</v>
      </c>
      <c r="AS99">
        <v>6686</v>
      </c>
      <c r="AT99">
        <v>2464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29040</v>
      </c>
      <c r="BI99">
        <v>29040</v>
      </c>
      <c r="BJ99">
        <v>0</v>
      </c>
      <c r="BK99">
        <v>0</v>
      </c>
      <c r="BL99">
        <v>0</v>
      </c>
      <c r="BM99">
        <v>200</v>
      </c>
      <c r="BN99">
        <v>0</v>
      </c>
      <c r="BO99">
        <v>0</v>
      </c>
      <c r="BP99">
        <v>1800</v>
      </c>
      <c r="BQ99">
        <v>0</v>
      </c>
      <c r="BR99">
        <v>1800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2000</v>
      </c>
      <c r="CZ99">
        <v>27040</v>
      </c>
      <c r="DA99" t="s">
        <v>118</v>
      </c>
      <c r="DB99" t="s">
        <v>118</v>
      </c>
      <c r="DC99">
        <v>27040</v>
      </c>
      <c r="DE99">
        <v>22263</v>
      </c>
      <c r="DF99">
        <f t="shared" si="1"/>
        <v>4777</v>
      </c>
      <c r="DG99" t="s">
        <v>204</v>
      </c>
    </row>
    <row r="100" spans="1:111">
      <c r="A100" t="s">
        <v>722</v>
      </c>
      <c r="B100" t="s">
        <v>723</v>
      </c>
      <c r="C100" t="s">
        <v>158</v>
      </c>
      <c r="D100" t="s">
        <v>686</v>
      </c>
      <c r="E100" t="s">
        <v>113</v>
      </c>
      <c r="F100" t="s">
        <v>114</v>
      </c>
      <c r="G100" t="s">
        <v>115</v>
      </c>
      <c r="H100" t="s">
        <v>113</v>
      </c>
      <c r="I100" t="s">
        <v>116</v>
      </c>
      <c r="J100" t="s">
        <v>117</v>
      </c>
      <c r="K100" t="s">
        <v>118</v>
      </c>
      <c r="L100" t="s">
        <v>118</v>
      </c>
      <c r="M100" t="s">
        <v>113</v>
      </c>
      <c r="N100" t="s">
        <v>199</v>
      </c>
      <c r="O100" t="s">
        <v>118</v>
      </c>
      <c r="P100" t="s">
        <v>117</v>
      </c>
      <c r="Q100" t="s">
        <v>117</v>
      </c>
      <c r="R100" t="s">
        <v>707</v>
      </c>
      <c r="S100" t="s">
        <v>169</v>
      </c>
      <c r="T100" t="s">
        <v>121</v>
      </c>
      <c r="U100" t="s">
        <v>122</v>
      </c>
      <c r="V100" t="s">
        <v>724</v>
      </c>
      <c r="W100" t="s">
        <v>135</v>
      </c>
      <c r="X100" t="s">
        <v>699</v>
      </c>
      <c r="Y100" t="s">
        <v>725</v>
      </c>
      <c r="Z100">
        <v>11468</v>
      </c>
      <c r="AA100">
        <v>11468</v>
      </c>
      <c r="AB100">
        <v>-166</v>
      </c>
      <c r="AC100">
        <v>4587</v>
      </c>
      <c r="AD100">
        <v>4587</v>
      </c>
      <c r="AE100">
        <v>-67</v>
      </c>
      <c r="AF100">
        <v>1261</v>
      </c>
      <c r="AG100">
        <v>1261</v>
      </c>
      <c r="AH100">
        <v>-18</v>
      </c>
      <c r="AI100">
        <v>0</v>
      </c>
      <c r="AJ100">
        <v>0</v>
      </c>
      <c r="AK100">
        <v>0</v>
      </c>
      <c r="AL100">
        <v>2867</v>
      </c>
      <c r="AM100">
        <v>2867</v>
      </c>
      <c r="AN100">
        <v>-42</v>
      </c>
      <c r="AO100">
        <v>0</v>
      </c>
      <c r="AP100">
        <v>0</v>
      </c>
      <c r="AQ100">
        <v>0</v>
      </c>
      <c r="AR100">
        <v>6686</v>
      </c>
      <c r="AS100">
        <v>6686</v>
      </c>
      <c r="AT100">
        <v>2464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29040</v>
      </c>
      <c r="BI100">
        <v>29040</v>
      </c>
      <c r="BJ100">
        <v>0</v>
      </c>
      <c r="BK100">
        <v>0</v>
      </c>
      <c r="BL100">
        <v>0</v>
      </c>
      <c r="BM100">
        <v>200</v>
      </c>
      <c r="BN100">
        <v>0</v>
      </c>
      <c r="BO100">
        <v>0</v>
      </c>
      <c r="BP100">
        <v>1800</v>
      </c>
      <c r="BQ100">
        <v>0</v>
      </c>
      <c r="BR100">
        <v>1800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2000</v>
      </c>
      <c r="CZ100">
        <v>27040</v>
      </c>
      <c r="DA100" t="s">
        <v>118</v>
      </c>
      <c r="DB100" t="s">
        <v>118</v>
      </c>
      <c r="DC100">
        <v>27040</v>
      </c>
      <c r="DE100">
        <v>22263</v>
      </c>
      <c r="DF100">
        <f t="shared" si="1"/>
        <v>4777</v>
      </c>
      <c r="DG100" t="s">
        <v>204</v>
      </c>
    </row>
    <row r="101" spans="1:111">
      <c r="A101" t="s">
        <v>726</v>
      </c>
      <c r="B101" t="s">
        <v>727</v>
      </c>
      <c r="C101" t="s">
        <v>158</v>
      </c>
      <c r="D101" t="s">
        <v>686</v>
      </c>
      <c r="E101" t="s">
        <v>113</v>
      </c>
      <c r="F101" t="s">
        <v>114</v>
      </c>
      <c r="G101" t="s">
        <v>115</v>
      </c>
      <c r="H101" t="s">
        <v>113</v>
      </c>
      <c r="I101" t="s">
        <v>116</v>
      </c>
      <c r="J101" t="s">
        <v>117</v>
      </c>
      <c r="K101" t="s">
        <v>118</v>
      </c>
      <c r="L101" t="s">
        <v>118</v>
      </c>
      <c r="M101" t="s">
        <v>113</v>
      </c>
      <c r="N101" t="s">
        <v>199</v>
      </c>
      <c r="O101" t="s">
        <v>118</v>
      </c>
      <c r="P101" t="s">
        <v>117</v>
      </c>
      <c r="Q101" t="s">
        <v>117</v>
      </c>
      <c r="R101" t="s">
        <v>707</v>
      </c>
      <c r="S101" t="s">
        <v>169</v>
      </c>
      <c r="T101" t="s">
        <v>121</v>
      </c>
      <c r="U101" t="s">
        <v>122</v>
      </c>
      <c r="V101" t="s">
        <v>728</v>
      </c>
      <c r="W101" t="s">
        <v>135</v>
      </c>
      <c r="X101" t="s">
        <v>699</v>
      </c>
      <c r="Y101" t="s">
        <v>729</v>
      </c>
      <c r="Z101">
        <v>11468</v>
      </c>
      <c r="AA101">
        <v>11468</v>
      </c>
      <c r="AB101">
        <v>-166</v>
      </c>
      <c r="AC101">
        <v>4587</v>
      </c>
      <c r="AD101">
        <v>4587</v>
      </c>
      <c r="AE101">
        <v>-67</v>
      </c>
      <c r="AF101">
        <v>1261</v>
      </c>
      <c r="AG101">
        <v>1261</v>
      </c>
      <c r="AH101">
        <v>-18</v>
      </c>
      <c r="AI101">
        <v>0</v>
      </c>
      <c r="AJ101">
        <v>0</v>
      </c>
      <c r="AK101">
        <v>0</v>
      </c>
      <c r="AL101">
        <v>2867</v>
      </c>
      <c r="AM101">
        <v>2867</v>
      </c>
      <c r="AN101">
        <v>-42</v>
      </c>
      <c r="AO101">
        <v>0</v>
      </c>
      <c r="AP101">
        <v>0</v>
      </c>
      <c r="AQ101">
        <v>0</v>
      </c>
      <c r="AR101">
        <v>6686</v>
      </c>
      <c r="AS101">
        <v>6686</v>
      </c>
      <c r="AT101">
        <v>2464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29040</v>
      </c>
      <c r="BI101">
        <v>29040</v>
      </c>
      <c r="BJ101">
        <v>0</v>
      </c>
      <c r="BK101">
        <v>0</v>
      </c>
      <c r="BL101">
        <v>0</v>
      </c>
      <c r="BM101">
        <v>200</v>
      </c>
      <c r="BN101">
        <v>0</v>
      </c>
      <c r="BO101">
        <v>0</v>
      </c>
      <c r="BP101">
        <v>1800</v>
      </c>
      <c r="BQ101">
        <v>0</v>
      </c>
      <c r="BR101">
        <v>1800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2000</v>
      </c>
      <c r="CZ101">
        <v>27040</v>
      </c>
      <c r="DA101" t="s">
        <v>118</v>
      </c>
      <c r="DB101" t="s">
        <v>118</v>
      </c>
      <c r="DC101">
        <v>27040</v>
      </c>
      <c r="DE101">
        <v>22263</v>
      </c>
      <c r="DF101">
        <f t="shared" si="1"/>
        <v>4777</v>
      </c>
      <c r="DG101" t="s">
        <v>204</v>
      </c>
    </row>
    <row r="102" spans="1:111">
      <c r="A102" t="s">
        <v>730</v>
      </c>
      <c r="B102" t="s">
        <v>731</v>
      </c>
      <c r="C102" t="s">
        <v>182</v>
      </c>
      <c r="D102" t="s">
        <v>732</v>
      </c>
      <c r="E102" t="s">
        <v>113</v>
      </c>
      <c r="F102" t="s">
        <v>114</v>
      </c>
      <c r="G102" t="s">
        <v>115</v>
      </c>
      <c r="H102" t="s">
        <v>113</v>
      </c>
      <c r="I102" t="s">
        <v>116</v>
      </c>
      <c r="J102" t="s">
        <v>117</v>
      </c>
      <c r="K102" t="s">
        <v>118</v>
      </c>
      <c r="L102" t="s">
        <v>118</v>
      </c>
      <c r="M102" t="s">
        <v>113</v>
      </c>
      <c r="N102" t="s">
        <v>199</v>
      </c>
      <c r="O102" t="s">
        <v>118</v>
      </c>
      <c r="P102" t="s">
        <v>117</v>
      </c>
      <c r="Q102" t="s">
        <v>117</v>
      </c>
      <c r="R102" t="s">
        <v>733</v>
      </c>
      <c r="S102" t="s">
        <v>169</v>
      </c>
      <c r="T102" t="s">
        <v>121</v>
      </c>
      <c r="U102" t="s">
        <v>122</v>
      </c>
      <c r="V102" t="s">
        <v>734</v>
      </c>
      <c r="W102" t="s">
        <v>135</v>
      </c>
      <c r="X102" t="s">
        <v>735</v>
      </c>
      <c r="Y102" t="s">
        <v>736</v>
      </c>
      <c r="Z102">
        <v>62969</v>
      </c>
      <c r="AA102">
        <v>62969</v>
      </c>
      <c r="AB102">
        <v>3585</v>
      </c>
      <c r="AC102">
        <v>25188</v>
      </c>
      <c r="AD102">
        <v>25188</v>
      </c>
      <c r="AE102">
        <v>1434</v>
      </c>
      <c r="AF102">
        <v>6927</v>
      </c>
      <c r="AG102">
        <v>6927</v>
      </c>
      <c r="AH102">
        <v>395</v>
      </c>
      <c r="AI102">
        <v>0</v>
      </c>
      <c r="AJ102">
        <v>0</v>
      </c>
      <c r="AK102">
        <v>0</v>
      </c>
      <c r="AL102">
        <v>10000</v>
      </c>
      <c r="AM102">
        <v>10000</v>
      </c>
      <c r="AN102">
        <v>0</v>
      </c>
      <c r="AO102">
        <v>0</v>
      </c>
      <c r="AP102">
        <v>0</v>
      </c>
      <c r="AQ102">
        <v>0</v>
      </c>
      <c r="AR102">
        <v>50538</v>
      </c>
      <c r="AS102">
        <v>50538</v>
      </c>
      <c r="AT102">
        <v>3548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164584</v>
      </c>
      <c r="BI102">
        <v>164584</v>
      </c>
      <c r="BJ102">
        <v>0</v>
      </c>
      <c r="BK102">
        <v>0</v>
      </c>
      <c r="BL102">
        <v>14109</v>
      </c>
      <c r="BM102">
        <v>200</v>
      </c>
      <c r="BN102">
        <v>0</v>
      </c>
      <c r="BO102">
        <v>0</v>
      </c>
      <c r="BP102">
        <v>1800</v>
      </c>
      <c r="BQ102">
        <v>0</v>
      </c>
      <c r="BR102">
        <v>1800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16109</v>
      </c>
      <c r="CZ102">
        <v>148475</v>
      </c>
      <c r="DA102" t="s">
        <v>118</v>
      </c>
      <c r="DB102" t="s">
        <v>118</v>
      </c>
      <c r="DC102">
        <v>148475</v>
      </c>
      <c r="DE102">
        <v>131368</v>
      </c>
      <c r="DF102">
        <f t="shared" si="1"/>
        <v>17107</v>
      </c>
      <c r="DG102" t="s">
        <v>204</v>
      </c>
    </row>
    <row r="103" spans="1:111">
      <c r="A103" t="s">
        <v>737</v>
      </c>
      <c r="B103" t="s">
        <v>738</v>
      </c>
      <c r="C103" t="s">
        <v>140</v>
      </c>
      <c r="D103" t="s">
        <v>739</v>
      </c>
      <c r="E103" t="s">
        <v>113</v>
      </c>
      <c r="F103" t="s">
        <v>114</v>
      </c>
      <c r="G103" t="s">
        <v>115</v>
      </c>
      <c r="H103" t="s">
        <v>113</v>
      </c>
      <c r="I103" t="s">
        <v>116</v>
      </c>
      <c r="J103" t="s">
        <v>117</v>
      </c>
      <c r="K103" t="s">
        <v>118</v>
      </c>
      <c r="L103" t="s">
        <v>118</v>
      </c>
      <c r="M103" t="s">
        <v>113</v>
      </c>
      <c r="N103" t="s">
        <v>118</v>
      </c>
      <c r="O103" t="s">
        <v>118</v>
      </c>
      <c r="P103" t="s">
        <v>117</v>
      </c>
      <c r="Q103" t="s">
        <v>117</v>
      </c>
      <c r="R103" t="s">
        <v>740</v>
      </c>
      <c r="S103" t="s">
        <v>143</v>
      </c>
      <c r="T103" t="s">
        <v>121</v>
      </c>
      <c r="U103" t="s">
        <v>122</v>
      </c>
      <c r="V103" t="s">
        <v>741</v>
      </c>
      <c r="W103" t="s">
        <v>135</v>
      </c>
      <c r="X103" t="s">
        <v>742</v>
      </c>
      <c r="Y103" t="s">
        <v>743</v>
      </c>
      <c r="Z103">
        <v>25895</v>
      </c>
      <c r="AA103">
        <v>25895</v>
      </c>
      <c r="AB103">
        <v>0</v>
      </c>
      <c r="AC103">
        <v>10358</v>
      </c>
      <c r="AD103">
        <v>10358</v>
      </c>
      <c r="AE103">
        <v>0</v>
      </c>
      <c r="AF103">
        <v>2848</v>
      </c>
      <c r="AG103">
        <v>2848</v>
      </c>
      <c r="AH103">
        <v>0</v>
      </c>
      <c r="AI103">
        <v>0</v>
      </c>
      <c r="AJ103">
        <v>0</v>
      </c>
      <c r="AK103">
        <v>0</v>
      </c>
      <c r="AL103">
        <v>6474</v>
      </c>
      <c r="AM103">
        <v>6474</v>
      </c>
      <c r="AN103">
        <v>0</v>
      </c>
      <c r="AO103">
        <v>0</v>
      </c>
      <c r="AP103">
        <v>0</v>
      </c>
      <c r="AQ103">
        <v>0</v>
      </c>
      <c r="AR103">
        <v>17362</v>
      </c>
      <c r="AS103">
        <v>17362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62937</v>
      </c>
      <c r="BI103">
        <v>62937</v>
      </c>
      <c r="BJ103">
        <v>0</v>
      </c>
      <c r="BK103">
        <v>0</v>
      </c>
      <c r="BL103">
        <v>0</v>
      </c>
      <c r="BM103">
        <v>200</v>
      </c>
      <c r="BN103">
        <v>0</v>
      </c>
      <c r="BO103">
        <v>0</v>
      </c>
      <c r="BP103">
        <v>1800</v>
      </c>
      <c r="BQ103">
        <v>0</v>
      </c>
      <c r="BR103">
        <v>1800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2000</v>
      </c>
      <c r="CZ103">
        <v>60937</v>
      </c>
      <c r="DA103" t="s">
        <v>118</v>
      </c>
      <c r="DB103" t="s">
        <v>118</v>
      </c>
      <c r="DC103">
        <v>60937</v>
      </c>
      <c r="DE103">
        <v>60937</v>
      </c>
      <c r="DF103">
        <f t="shared" si="1"/>
        <v>0</v>
      </c>
    </row>
    <row r="104" spans="1:111">
      <c r="A104" t="s">
        <v>744</v>
      </c>
      <c r="B104" t="s">
        <v>745</v>
      </c>
      <c r="C104" t="s">
        <v>158</v>
      </c>
      <c r="D104" t="s">
        <v>746</v>
      </c>
      <c r="E104" t="s">
        <v>113</v>
      </c>
      <c r="F104" t="s">
        <v>114</v>
      </c>
      <c r="G104" t="s">
        <v>115</v>
      </c>
      <c r="H104" t="s">
        <v>113</v>
      </c>
      <c r="I104" t="s">
        <v>116</v>
      </c>
      <c r="J104" t="s">
        <v>117</v>
      </c>
      <c r="K104" t="s">
        <v>118</v>
      </c>
      <c r="L104" t="s">
        <v>118</v>
      </c>
      <c r="M104" t="s">
        <v>113</v>
      </c>
      <c r="N104" t="s">
        <v>118</v>
      </c>
      <c r="O104" t="s">
        <v>118</v>
      </c>
      <c r="P104" t="s">
        <v>117</v>
      </c>
      <c r="Q104" t="s">
        <v>117</v>
      </c>
      <c r="R104" t="s">
        <v>747</v>
      </c>
      <c r="S104" t="s">
        <v>169</v>
      </c>
      <c r="T104" t="s">
        <v>121</v>
      </c>
      <c r="U104" t="s">
        <v>122</v>
      </c>
      <c r="V104" t="s">
        <v>748</v>
      </c>
      <c r="W104" t="s">
        <v>124</v>
      </c>
      <c r="X104" t="s">
        <v>749</v>
      </c>
      <c r="Y104" t="s">
        <v>750</v>
      </c>
      <c r="Z104">
        <v>67600</v>
      </c>
      <c r="AA104">
        <v>67600</v>
      </c>
      <c r="AB104">
        <v>0</v>
      </c>
      <c r="AC104">
        <v>27040</v>
      </c>
      <c r="AD104">
        <v>27040</v>
      </c>
      <c r="AE104">
        <v>0</v>
      </c>
      <c r="AF104">
        <v>7436</v>
      </c>
      <c r="AG104">
        <v>7436</v>
      </c>
      <c r="AH104">
        <v>0</v>
      </c>
      <c r="AI104">
        <v>0</v>
      </c>
      <c r="AJ104">
        <v>0</v>
      </c>
      <c r="AK104">
        <v>0</v>
      </c>
      <c r="AL104">
        <v>10000</v>
      </c>
      <c r="AM104">
        <v>10000</v>
      </c>
      <c r="AN104">
        <v>0</v>
      </c>
      <c r="AO104">
        <v>0</v>
      </c>
      <c r="AP104">
        <v>0</v>
      </c>
      <c r="AQ104">
        <v>0</v>
      </c>
      <c r="AR104">
        <v>55124</v>
      </c>
      <c r="AS104">
        <v>55124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167200</v>
      </c>
      <c r="BI104">
        <v>167200</v>
      </c>
      <c r="BJ104">
        <v>0</v>
      </c>
      <c r="BK104">
        <v>0</v>
      </c>
      <c r="BL104">
        <v>16114</v>
      </c>
      <c r="BM104">
        <v>200</v>
      </c>
      <c r="BN104">
        <v>0</v>
      </c>
      <c r="BO104">
        <v>0</v>
      </c>
      <c r="BP104">
        <v>1800</v>
      </c>
      <c r="BQ104">
        <v>0</v>
      </c>
      <c r="BR104">
        <v>1800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18114</v>
      </c>
      <c r="CZ104">
        <v>149086</v>
      </c>
      <c r="DA104" t="s">
        <v>118</v>
      </c>
      <c r="DB104" t="s">
        <v>118</v>
      </c>
      <c r="DC104">
        <v>149086</v>
      </c>
      <c r="DE104">
        <v>149087</v>
      </c>
      <c r="DF104">
        <f t="shared" si="1"/>
        <v>-1</v>
      </c>
    </row>
    <row r="105" spans="1:111">
      <c r="A105" t="s">
        <v>751</v>
      </c>
      <c r="B105" t="s">
        <v>752</v>
      </c>
      <c r="C105" t="s">
        <v>182</v>
      </c>
      <c r="D105" t="s">
        <v>753</v>
      </c>
      <c r="E105" t="s">
        <v>113</v>
      </c>
      <c r="F105" t="s">
        <v>114</v>
      </c>
      <c r="G105" t="s">
        <v>115</v>
      </c>
      <c r="H105" t="s">
        <v>113</v>
      </c>
      <c r="I105" t="s">
        <v>116</v>
      </c>
      <c r="J105" t="s">
        <v>117</v>
      </c>
      <c r="K105" t="s">
        <v>118</v>
      </c>
      <c r="L105" t="s">
        <v>118</v>
      </c>
      <c r="M105" t="s">
        <v>113</v>
      </c>
      <c r="N105" t="s">
        <v>118</v>
      </c>
      <c r="O105" t="s">
        <v>118</v>
      </c>
      <c r="P105" t="s">
        <v>117</v>
      </c>
      <c r="Q105" t="s">
        <v>117</v>
      </c>
      <c r="R105" t="s">
        <v>754</v>
      </c>
      <c r="S105" t="s">
        <v>169</v>
      </c>
      <c r="T105" t="s">
        <v>121</v>
      </c>
      <c r="U105" t="s">
        <v>122</v>
      </c>
      <c r="V105" t="s">
        <v>755</v>
      </c>
      <c r="W105" t="s">
        <v>135</v>
      </c>
      <c r="X105" t="s">
        <v>756</v>
      </c>
      <c r="Y105" t="s">
        <v>757</v>
      </c>
      <c r="Z105">
        <v>63333</v>
      </c>
      <c r="AA105">
        <v>63333</v>
      </c>
      <c r="AB105">
        <v>0</v>
      </c>
      <c r="AC105">
        <v>25333</v>
      </c>
      <c r="AD105">
        <v>25333</v>
      </c>
      <c r="AE105">
        <v>0</v>
      </c>
      <c r="AF105">
        <v>6967</v>
      </c>
      <c r="AG105">
        <v>6967</v>
      </c>
      <c r="AH105">
        <v>0</v>
      </c>
      <c r="AI105">
        <v>0</v>
      </c>
      <c r="AJ105">
        <v>0</v>
      </c>
      <c r="AK105">
        <v>0</v>
      </c>
      <c r="AL105">
        <v>10000</v>
      </c>
      <c r="AM105">
        <v>10000</v>
      </c>
      <c r="AN105">
        <v>0</v>
      </c>
      <c r="AO105">
        <v>0</v>
      </c>
      <c r="AP105">
        <v>0</v>
      </c>
      <c r="AQ105">
        <v>0</v>
      </c>
      <c r="AR105">
        <v>50900</v>
      </c>
      <c r="AS105">
        <v>50900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156533</v>
      </c>
      <c r="BI105">
        <v>156533</v>
      </c>
      <c r="BJ105">
        <v>0</v>
      </c>
      <c r="BK105">
        <v>0</v>
      </c>
      <c r="BL105">
        <v>4093</v>
      </c>
      <c r="BM105">
        <v>200</v>
      </c>
      <c r="BN105">
        <v>0</v>
      </c>
      <c r="BO105">
        <v>0</v>
      </c>
      <c r="BP105">
        <v>1800</v>
      </c>
      <c r="BQ105">
        <v>0</v>
      </c>
      <c r="BR105">
        <v>1800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6093</v>
      </c>
      <c r="CZ105">
        <v>150440</v>
      </c>
      <c r="DA105" t="s">
        <v>118</v>
      </c>
      <c r="DB105" t="s">
        <v>118</v>
      </c>
      <c r="DC105">
        <v>150440</v>
      </c>
      <c r="DE105">
        <v>150439</v>
      </c>
      <c r="DF105">
        <f t="shared" si="1"/>
        <v>1</v>
      </c>
    </row>
    <row r="106" spans="1:111">
      <c r="A106" t="s">
        <v>758</v>
      </c>
      <c r="B106" t="s">
        <v>759</v>
      </c>
      <c r="C106" t="s">
        <v>182</v>
      </c>
      <c r="D106" t="s">
        <v>760</v>
      </c>
      <c r="E106" t="s">
        <v>113</v>
      </c>
      <c r="F106" t="s">
        <v>114</v>
      </c>
      <c r="G106" t="s">
        <v>115</v>
      </c>
      <c r="H106" t="s">
        <v>113</v>
      </c>
      <c r="I106" t="s">
        <v>116</v>
      </c>
      <c r="J106" t="s">
        <v>117</v>
      </c>
      <c r="K106" t="s">
        <v>118</v>
      </c>
      <c r="L106" t="s">
        <v>118</v>
      </c>
      <c r="M106" t="s">
        <v>113</v>
      </c>
      <c r="N106" t="s">
        <v>118</v>
      </c>
      <c r="O106" t="s">
        <v>118</v>
      </c>
      <c r="P106" t="s">
        <v>117</v>
      </c>
      <c r="Q106" t="s">
        <v>117</v>
      </c>
      <c r="R106" t="s">
        <v>733</v>
      </c>
      <c r="S106" t="s">
        <v>169</v>
      </c>
      <c r="T106" t="s">
        <v>121</v>
      </c>
      <c r="U106" t="s">
        <v>122</v>
      </c>
      <c r="V106" t="s">
        <v>761</v>
      </c>
      <c r="W106" t="s">
        <v>124</v>
      </c>
      <c r="X106" t="s">
        <v>762</v>
      </c>
      <c r="Y106" t="s">
        <v>763</v>
      </c>
      <c r="Z106">
        <v>64517</v>
      </c>
      <c r="AA106">
        <v>64517</v>
      </c>
      <c r="AB106">
        <v>0</v>
      </c>
      <c r="AC106">
        <v>25807</v>
      </c>
      <c r="AD106">
        <v>25807</v>
      </c>
      <c r="AE106">
        <v>0</v>
      </c>
      <c r="AF106">
        <v>7097</v>
      </c>
      <c r="AG106">
        <v>7097</v>
      </c>
      <c r="AH106">
        <v>0</v>
      </c>
      <c r="AI106">
        <v>0</v>
      </c>
      <c r="AJ106">
        <v>0</v>
      </c>
      <c r="AK106">
        <v>0</v>
      </c>
      <c r="AL106">
        <v>10000</v>
      </c>
      <c r="AM106">
        <v>10000</v>
      </c>
      <c r="AN106">
        <v>0</v>
      </c>
      <c r="AO106">
        <v>0</v>
      </c>
      <c r="AP106">
        <v>0</v>
      </c>
      <c r="AQ106">
        <v>0</v>
      </c>
      <c r="AR106">
        <v>52071</v>
      </c>
      <c r="AS106">
        <v>52071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159492</v>
      </c>
      <c r="BI106">
        <v>159492</v>
      </c>
      <c r="BJ106">
        <v>0</v>
      </c>
      <c r="BK106">
        <v>0</v>
      </c>
      <c r="BL106">
        <v>16274</v>
      </c>
      <c r="BM106">
        <v>200</v>
      </c>
      <c r="BN106">
        <v>0</v>
      </c>
      <c r="BO106">
        <v>0</v>
      </c>
      <c r="BP106">
        <v>1800</v>
      </c>
      <c r="BQ106">
        <v>0</v>
      </c>
      <c r="BR106">
        <v>1800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18274</v>
      </c>
      <c r="CZ106">
        <v>141218</v>
      </c>
      <c r="DA106" t="s">
        <v>118</v>
      </c>
      <c r="DB106" t="s">
        <v>118</v>
      </c>
      <c r="DC106">
        <v>141218</v>
      </c>
      <c r="DE106">
        <v>141217</v>
      </c>
      <c r="DF106">
        <f t="shared" si="1"/>
        <v>1</v>
      </c>
    </row>
    <row r="107" spans="1:111">
      <c r="A107" t="s">
        <v>764</v>
      </c>
      <c r="B107" t="s">
        <v>765</v>
      </c>
      <c r="C107" t="s">
        <v>158</v>
      </c>
      <c r="D107" t="s">
        <v>766</v>
      </c>
      <c r="E107" t="s">
        <v>113</v>
      </c>
      <c r="F107" t="s">
        <v>114</v>
      </c>
      <c r="G107" t="s">
        <v>115</v>
      </c>
      <c r="H107" t="s">
        <v>113</v>
      </c>
      <c r="I107" t="s">
        <v>116</v>
      </c>
      <c r="J107" t="s">
        <v>117</v>
      </c>
      <c r="K107" t="s">
        <v>118</v>
      </c>
      <c r="L107" t="s">
        <v>118</v>
      </c>
      <c r="M107" t="s">
        <v>113</v>
      </c>
      <c r="N107" t="s">
        <v>118</v>
      </c>
      <c r="O107" t="s">
        <v>118</v>
      </c>
      <c r="P107" t="s">
        <v>117</v>
      </c>
      <c r="Q107" t="s">
        <v>117</v>
      </c>
      <c r="R107" t="s">
        <v>767</v>
      </c>
      <c r="S107" t="s">
        <v>169</v>
      </c>
      <c r="T107" t="s">
        <v>121</v>
      </c>
      <c r="U107" t="s">
        <v>122</v>
      </c>
      <c r="V107" t="s">
        <v>768</v>
      </c>
      <c r="W107" t="s">
        <v>135</v>
      </c>
      <c r="X107" t="s">
        <v>769</v>
      </c>
      <c r="Y107" t="s">
        <v>770</v>
      </c>
      <c r="Z107">
        <v>73870</v>
      </c>
      <c r="AA107">
        <v>73870</v>
      </c>
      <c r="AB107">
        <v>0</v>
      </c>
      <c r="AC107">
        <v>29548</v>
      </c>
      <c r="AD107">
        <v>29548</v>
      </c>
      <c r="AE107">
        <v>0</v>
      </c>
      <c r="AF107">
        <v>8126</v>
      </c>
      <c r="AG107">
        <v>8126</v>
      </c>
      <c r="AH107">
        <v>0</v>
      </c>
      <c r="AI107">
        <v>0</v>
      </c>
      <c r="AJ107">
        <v>0</v>
      </c>
      <c r="AK107">
        <v>0</v>
      </c>
      <c r="AL107">
        <v>10000</v>
      </c>
      <c r="AM107">
        <v>10000</v>
      </c>
      <c r="AN107">
        <v>0</v>
      </c>
      <c r="AO107">
        <v>0</v>
      </c>
      <c r="AP107">
        <v>0</v>
      </c>
      <c r="AQ107">
        <v>0</v>
      </c>
      <c r="AR107">
        <v>54267</v>
      </c>
      <c r="AS107">
        <v>54267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175811</v>
      </c>
      <c r="BI107">
        <v>175811</v>
      </c>
      <c r="BJ107">
        <v>0</v>
      </c>
      <c r="BK107">
        <v>0</v>
      </c>
      <c r="BL107">
        <v>18086</v>
      </c>
      <c r="BM107">
        <v>200</v>
      </c>
      <c r="BN107">
        <v>0</v>
      </c>
      <c r="BO107">
        <v>0</v>
      </c>
      <c r="BP107">
        <v>8864</v>
      </c>
      <c r="BQ107">
        <v>0</v>
      </c>
      <c r="BR107">
        <v>8864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27150</v>
      </c>
      <c r="CZ107">
        <v>148661</v>
      </c>
      <c r="DA107" t="s">
        <v>118</v>
      </c>
      <c r="DB107" t="s">
        <v>118</v>
      </c>
      <c r="DC107">
        <v>148661</v>
      </c>
      <c r="DE107">
        <v>148661</v>
      </c>
      <c r="DF107">
        <f t="shared" si="1"/>
        <v>0</v>
      </c>
    </row>
    <row r="108" spans="1:111">
      <c r="A108" t="s">
        <v>771</v>
      </c>
      <c r="B108" t="s">
        <v>772</v>
      </c>
      <c r="C108" t="s">
        <v>158</v>
      </c>
      <c r="D108" t="s">
        <v>773</v>
      </c>
      <c r="E108" t="s">
        <v>113</v>
      </c>
      <c r="F108" t="s">
        <v>114</v>
      </c>
      <c r="G108" t="s">
        <v>115</v>
      </c>
      <c r="H108" t="s">
        <v>113</v>
      </c>
      <c r="I108" t="s">
        <v>116</v>
      </c>
      <c r="J108" t="s">
        <v>117</v>
      </c>
      <c r="K108" t="s">
        <v>118</v>
      </c>
      <c r="L108" t="s">
        <v>118</v>
      </c>
      <c r="M108" t="s">
        <v>113</v>
      </c>
      <c r="N108" t="s">
        <v>118</v>
      </c>
      <c r="O108" t="s">
        <v>118</v>
      </c>
      <c r="P108" t="s">
        <v>117</v>
      </c>
      <c r="Q108" t="s">
        <v>117</v>
      </c>
      <c r="R108" t="s">
        <v>774</v>
      </c>
      <c r="S108" t="s">
        <v>169</v>
      </c>
      <c r="T108" t="s">
        <v>121</v>
      </c>
      <c r="U108" t="s">
        <v>122</v>
      </c>
      <c r="V108" t="s">
        <v>775</v>
      </c>
      <c r="W108" t="s">
        <v>135</v>
      </c>
      <c r="X108" t="s">
        <v>776</v>
      </c>
      <c r="Y108" t="s">
        <v>777</v>
      </c>
      <c r="Z108">
        <v>54517</v>
      </c>
      <c r="AA108">
        <v>54517</v>
      </c>
      <c r="AB108">
        <v>0</v>
      </c>
      <c r="AC108">
        <v>21807</v>
      </c>
      <c r="AD108">
        <v>21807</v>
      </c>
      <c r="AE108">
        <v>0</v>
      </c>
      <c r="AF108">
        <v>5997</v>
      </c>
      <c r="AG108">
        <v>5997</v>
      </c>
      <c r="AH108">
        <v>0</v>
      </c>
      <c r="AI108">
        <v>0</v>
      </c>
      <c r="AJ108">
        <v>0</v>
      </c>
      <c r="AK108">
        <v>0</v>
      </c>
      <c r="AL108">
        <v>10000</v>
      </c>
      <c r="AM108">
        <v>10000</v>
      </c>
      <c r="AN108">
        <v>0</v>
      </c>
      <c r="AO108">
        <v>0</v>
      </c>
      <c r="AP108">
        <v>0</v>
      </c>
      <c r="AQ108">
        <v>0</v>
      </c>
      <c r="AR108">
        <v>42171</v>
      </c>
      <c r="AS108">
        <v>42171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134492</v>
      </c>
      <c r="BI108">
        <v>134492</v>
      </c>
      <c r="BJ108">
        <v>0</v>
      </c>
      <c r="BK108">
        <v>0</v>
      </c>
      <c r="BL108">
        <v>9606</v>
      </c>
      <c r="BM108">
        <v>200</v>
      </c>
      <c r="BN108">
        <v>0</v>
      </c>
      <c r="BO108">
        <v>0</v>
      </c>
      <c r="BP108">
        <v>1800</v>
      </c>
      <c r="BQ108">
        <v>0</v>
      </c>
      <c r="BR108">
        <v>1800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11606</v>
      </c>
      <c r="CZ108">
        <v>122886</v>
      </c>
      <c r="DA108" t="s">
        <v>118</v>
      </c>
      <c r="DB108" t="s">
        <v>118</v>
      </c>
      <c r="DC108">
        <v>122886</v>
      </c>
      <c r="DE108">
        <v>122886</v>
      </c>
      <c r="DF108">
        <f t="shared" si="1"/>
        <v>0</v>
      </c>
    </row>
    <row r="109" spans="1:111">
      <c r="A109" t="s">
        <v>778</v>
      </c>
      <c r="B109" t="s">
        <v>779</v>
      </c>
      <c r="C109" t="s">
        <v>111</v>
      </c>
      <c r="D109" t="s">
        <v>780</v>
      </c>
      <c r="E109" t="s">
        <v>113</v>
      </c>
      <c r="F109" t="s">
        <v>114</v>
      </c>
      <c r="G109" t="s">
        <v>115</v>
      </c>
      <c r="H109" t="s">
        <v>113</v>
      </c>
      <c r="I109" t="s">
        <v>116</v>
      </c>
      <c r="J109" t="s">
        <v>117</v>
      </c>
      <c r="K109" t="s">
        <v>118</v>
      </c>
      <c r="L109" t="s">
        <v>118</v>
      </c>
      <c r="M109" t="s">
        <v>113</v>
      </c>
      <c r="N109" t="s">
        <v>118</v>
      </c>
      <c r="O109" t="s">
        <v>118</v>
      </c>
      <c r="P109" t="s">
        <v>117</v>
      </c>
      <c r="Q109" t="s">
        <v>117</v>
      </c>
      <c r="R109" t="s">
        <v>781</v>
      </c>
      <c r="S109" t="s">
        <v>120</v>
      </c>
      <c r="T109" t="s">
        <v>121</v>
      </c>
      <c r="U109" t="s">
        <v>122</v>
      </c>
      <c r="V109" t="s">
        <v>782</v>
      </c>
      <c r="W109" t="s">
        <v>124</v>
      </c>
      <c r="X109" t="s">
        <v>783</v>
      </c>
      <c r="Y109" t="s">
        <v>784</v>
      </c>
      <c r="Z109">
        <v>56283</v>
      </c>
      <c r="AA109">
        <v>56283</v>
      </c>
      <c r="AB109">
        <v>0</v>
      </c>
      <c r="AC109">
        <v>22513</v>
      </c>
      <c r="AD109">
        <v>22513</v>
      </c>
      <c r="AE109">
        <v>0</v>
      </c>
      <c r="AF109">
        <v>6191</v>
      </c>
      <c r="AG109">
        <v>6191</v>
      </c>
      <c r="AH109">
        <v>0</v>
      </c>
      <c r="AI109">
        <v>0</v>
      </c>
      <c r="AJ109">
        <v>0</v>
      </c>
      <c r="AK109">
        <v>0</v>
      </c>
      <c r="AL109">
        <v>10000</v>
      </c>
      <c r="AM109">
        <v>10000</v>
      </c>
      <c r="AN109">
        <v>0</v>
      </c>
      <c r="AO109">
        <v>2200</v>
      </c>
      <c r="AP109">
        <v>2200</v>
      </c>
      <c r="AQ109">
        <v>0</v>
      </c>
      <c r="AR109">
        <v>41721</v>
      </c>
      <c r="AS109">
        <v>41721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138908</v>
      </c>
      <c r="BI109">
        <v>138908</v>
      </c>
      <c r="BJ109">
        <v>2200</v>
      </c>
      <c r="BK109">
        <v>0</v>
      </c>
      <c r="BL109">
        <v>10803</v>
      </c>
      <c r="BM109">
        <v>200</v>
      </c>
      <c r="BN109">
        <v>0</v>
      </c>
      <c r="BO109">
        <v>0</v>
      </c>
      <c r="BP109">
        <v>1800</v>
      </c>
      <c r="BQ109">
        <v>0</v>
      </c>
      <c r="BR109">
        <v>1800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15003</v>
      </c>
      <c r="CZ109">
        <v>123905</v>
      </c>
      <c r="DA109" t="s">
        <v>118</v>
      </c>
      <c r="DB109" t="s">
        <v>118</v>
      </c>
      <c r="DC109">
        <v>123905</v>
      </c>
      <c r="DE109">
        <v>123904</v>
      </c>
      <c r="DF109">
        <f t="shared" si="1"/>
        <v>1</v>
      </c>
    </row>
    <row r="110" spans="1:111">
      <c r="A110" t="s">
        <v>785</v>
      </c>
      <c r="B110" t="s">
        <v>786</v>
      </c>
      <c r="C110" t="s">
        <v>158</v>
      </c>
      <c r="D110" t="s">
        <v>787</v>
      </c>
      <c r="E110" t="s">
        <v>113</v>
      </c>
      <c r="F110" t="s">
        <v>114</v>
      </c>
      <c r="G110" t="s">
        <v>115</v>
      </c>
      <c r="H110" t="s">
        <v>113</v>
      </c>
      <c r="I110" t="s">
        <v>116</v>
      </c>
      <c r="J110" t="s">
        <v>117</v>
      </c>
      <c r="K110" t="s">
        <v>118</v>
      </c>
      <c r="L110" t="s">
        <v>118</v>
      </c>
      <c r="M110" t="s">
        <v>113</v>
      </c>
      <c r="N110" t="s">
        <v>118</v>
      </c>
      <c r="O110" t="s">
        <v>118</v>
      </c>
      <c r="P110" t="s">
        <v>117</v>
      </c>
      <c r="Q110" t="s">
        <v>117</v>
      </c>
      <c r="R110" t="s">
        <v>788</v>
      </c>
      <c r="S110" t="s">
        <v>169</v>
      </c>
      <c r="T110" t="s">
        <v>121</v>
      </c>
      <c r="U110" t="s">
        <v>122</v>
      </c>
      <c r="V110" t="s">
        <v>789</v>
      </c>
      <c r="W110" t="s">
        <v>135</v>
      </c>
      <c r="X110" t="s">
        <v>790</v>
      </c>
      <c r="Y110" t="s">
        <v>791</v>
      </c>
      <c r="Z110">
        <v>70000</v>
      </c>
      <c r="AA110">
        <v>70000</v>
      </c>
      <c r="AB110">
        <v>0</v>
      </c>
      <c r="AC110">
        <v>28000</v>
      </c>
      <c r="AD110">
        <v>28000</v>
      </c>
      <c r="AE110">
        <v>0</v>
      </c>
      <c r="AF110">
        <v>7700</v>
      </c>
      <c r="AG110">
        <v>7700</v>
      </c>
      <c r="AH110">
        <v>0</v>
      </c>
      <c r="AI110">
        <v>0</v>
      </c>
      <c r="AJ110">
        <v>0</v>
      </c>
      <c r="AK110">
        <v>0</v>
      </c>
      <c r="AL110">
        <v>10000</v>
      </c>
      <c r="AM110">
        <v>10000</v>
      </c>
      <c r="AN110">
        <v>0</v>
      </c>
      <c r="AO110">
        <v>0</v>
      </c>
      <c r="AP110">
        <v>0</v>
      </c>
      <c r="AQ110">
        <v>0</v>
      </c>
      <c r="AR110">
        <v>50900</v>
      </c>
      <c r="AS110">
        <v>50900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10500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10500</v>
      </c>
      <c r="BH110">
        <v>177100</v>
      </c>
      <c r="BI110">
        <v>177100</v>
      </c>
      <c r="BJ110">
        <v>0</v>
      </c>
      <c r="BK110">
        <v>0</v>
      </c>
      <c r="BL110">
        <v>18311</v>
      </c>
      <c r="BM110">
        <v>200</v>
      </c>
      <c r="BN110">
        <v>0</v>
      </c>
      <c r="BO110">
        <v>0</v>
      </c>
      <c r="BP110">
        <v>8400</v>
      </c>
      <c r="BQ110">
        <v>0</v>
      </c>
      <c r="BR110">
        <v>8400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26911</v>
      </c>
      <c r="CZ110">
        <v>150189</v>
      </c>
      <c r="DA110" t="s">
        <v>118</v>
      </c>
      <c r="DB110" t="s">
        <v>118</v>
      </c>
      <c r="DC110">
        <v>150189</v>
      </c>
      <c r="DE110">
        <v>150206</v>
      </c>
      <c r="DF110">
        <f t="shared" si="1"/>
        <v>-17</v>
      </c>
      <c r="DG110" t="s">
        <v>792</v>
      </c>
    </row>
    <row r="111" spans="1:111">
      <c r="A111" t="s">
        <v>793</v>
      </c>
      <c r="B111" t="s">
        <v>794</v>
      </c>
      <c r="C111" t="s">
        <v>182</v>
      </c>
      <c r="D111" t="s">
        <v>795</v>
      </c>
      <c r="E111" t="s">
        <v>113</v>
      </c>
      <c r="F111" t="s">
        <v>114</v>
      </c>
      <c r="G111" t="s">
        <v>115</v>
      </c>
      <c r="H111" t="s">
        <v>113</v>
      </c>
      <c r="I111" t="s">
        <v>116</v>
      </c>
      <c r="J111" t="s">
        <v>117</v>
      </c>
      <c r="K111" t="s">
        <v>118</v>
      </c>
      <c r="L111" t="s">
        <v>118</v>
      </c>
      <c r="M111" t="s">
        <v>113</v>
      </c>
      <c r="N111" t="s">
        <v>118</v>
      </c>
      <c r="O111" t="s">
        <v>118</v>
      </c>
      <c r="P111" t="s">
        <v>117</v>
      </c>
      <c r="Q111" t="s">
        <v>117</v>
      </c>
      <c r="R111" t="s">
        <v>754</v>
      </c>
      <c r="S111" t="s">
        <v>169</v>
      </c>
      <c r="T111" t="s">
        <v>121</v>
      </c>
      <c r="U111" t="s">
        <v>122</v>
      </c>
      <c r="V111" t="s">
        <v>796</v>
      </c>
      <c r="W111" t="s">
        <v>135</v>
      </c>
      <c r="X111" t="s">
        <v>797</v>
      </c>
      <c r="Y111" t="s">
        <v>798</v>
      </c>
      <c r="Z111">
        <v>60147</v>
      </c>
      <c r="AA111">
        <v>60147</v>
      </c>
      <c r="AB111">
        <v>0</v>
      </c>
      <c r="AC111">
        <v>24059</v>
      </c>
      <c r="AD111">
        <v>24059</v>
      </c>
      <c r="AE111">
        <v>0</v>
      </c>
      <c r="AF111">
        <v>6616</v>
      </c>
      <c r="AG111">
        <v>6616</v>
      </c>
      <c r="AH111">
        <v>0</v>
      </c>
      <c r="AI111">
        <v>0</v>
      </c>
      <c r="AJ111">
        <v>0</v>
      </c>
      <c r="AK111">
        <v>0</v>
      </c>
      <c r="AL111">
        <v>10000</v>
      </c>
      <c r="AM111">
        <v>10000</v>
      </c>
      <c r="AN111">
        <v>0</v>
      </c>
      <c r="AO111">
        <v>0</v>
      </c>
      <c r="AP111">
        <v>0</v>
      </c>
      <c r="AQ111">
        <v>0</v>
      </c>
      <c r="AR111">
        <v>47745</v>
      </c>
      <c r="AS111">
        <v>47745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148567</v>
      </c>
      <c r="BI111">
        <v>148567</v>
      </c>
      <c r="BJ111">
        <v>0</v>
      </c>
      <c r="BK111">
        <v>0</v>
      </c>
      <c r="BL111">
        <v>12268</v>
      </c>
      <c r="BM111">
        <v>200</v>
      </c>
      <c r="BN111">
        <v>0</v>
      </c>
      <c r="BO111">
        <v>0</v>
      </c>
      <c r="BP111">
        <v>1800</v>
      </c>
      <c r="BQ111">
        <v>0</v>
      </c>
      <c r="BR111">
        <v>1800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14268</v>
      </c>
      <c r="CZ111">
        <v>134299</v>
      </c>
      <c r="DA111" t="s">
        <v>118</v>
      </c>
      <c r="DB111" t="s">
        <v>118</v>
      </c>
      <c r="DC111">
        <v>134299</v>
      </c>
      <c r="DE111">
        <v>134298</v>
      </c>
      <c r="DF111">
        <f t="shared" si="1"/>
        <v>1</v>
      </c>
    </row>
    <row r="112" spans="1:111">
      <c r="A112" t="s">
        <v>799</v>
      </c>
      <c r="B112" t="s">
        <v>800</v>
      </c>
      <c r="C112" t="s">
        <v>182</v>
      </c>
      <c r="D112" t="s">
        <v>801</v>
      </c>
      <c r="E112" t="s">
        <v>113</v>
      </c>
      <c r="F112" t="s">
        <v>114</v>
      </c>
      <c r="G112" t="s">
        <v>115</v>
      </c>
      <c r="H112" t="s">
        <v>113</v>
      </c>
      <c r="I112" t="s">
        <v>116</v>
      </c>
      <c r="J112" t="s">
        <v>117</v>
      </c>
      <c r="K112" t="s">
        <v>118</v>
      </c>
      <c r="L112" t="s">
        <v>118</v>
      </c>
      <c r="M112" t="s">
        <v>113</v>
      </c>
      <c r="N112" t="s">
        <v>118</v>
      </c>
      <c r="O112" t="s">
        <v>118</v>
      </c>
      <c r="P112" t="s">
        <v>117</v>
      </c>
      <c r="Q112" t="s">
        <v>117</v>
      </c>
      <c r="R112" t="s">
        <v>802</v>
      </c>
      <c r="S112" t="s">
        <v>182</v>
      </c>
      <c r="T112" t="s">
        <v>121</v>
      </c>
      <c r="U112" t="s">
        <v>122</v>
      </c>
      <c r="V112" t="s">
        <v>803</v>
      </c>
      <c r="W112" t="s">
        <v>135</v>
      </c>
      <c r="X112" t="s">
        <v>804</v>
      </c>
      <c r="Y112" t="s">
        <v>805</v>
      </c>
      <c r="Z112">
        <v>80103</v>
      </c>
      <c r="AA112">
        <v>80103</v>
      </c>
      <c r="AB112">
        <v>0</v>
      </c>
      <c r="AC112">
        <v>32041</v>
      </c>
      <c r="AD112">
        <v>32041</v>
      </c>
      <c r="AE112">
        <v>0</v>
      </c>
      <c r="AF112">
        <v>8811</v>
      </c>
      <c r="AG112">
        <v>8811</v>
      </c>
      <c r="AH112">
        <v>0</v>
      </c>
      <c r="AI112">
        <v>0</v>
      </c>
      <c r="AJ112">
        <v>0</v>
      </c>
      <c r="AK112">
        <v>0</v>
      </c>
      <c r="AL112">
        <v>10000</v>
      </c>
      <c r="AM112">
        <v>10000</v>
      </c>
      <c r="AN112">
        <v>0</v>
      </c>
      <c r="AO112">
        <v>2200</v>
      </c>
      <c r="AP112">
        <v>2200</v>
      </c>
      <c r="AQ112">
        <v>0</v>
      </c>
      <c r="AR112">
        <v>65303</v>
      </c>
      <c r="AS112">
        <v>65303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198458</v>
      </c>
      <c r="BI112">
        <v>198458</v>
      </c>
      <c r="BJ112">
        <v>2200</v>
      </c>
      <c r="BK112">
        <v>0</v>
      </c>
      <c r="BL112">
        <v>38538</v>
      </c>
      <c r="BM112">
        <v>200</v>
      </c>
      <c r="BN112">
        <v>0</v>
      </c>
      <c r="BO112">
        <v>0</v>
      </c>
      <c r="BP112">
        <v>1800</v>
      </c>
      <c r="BQ112">
        <v>0</v>
      </c>
      <c r="BR112">
        <v>1800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42738</v>
      </c>
      <c r="CZ112">
        <v>155720</v>
      </c>
      <c r="DA112" t="s">
        <v>118</v>
      </c>
      <c r="DB112" t="s">
        <v>118</v>
      </c>
      <c r="DC112">
        <v>155720</v>
      </c>
      <c r="DE112">
        <v>155721</v>
      </c>
      <c r="DF112">
        <f t="shared" si="1"/>
        <v>-1</v>
      </c>
    </row>
    <row r="113" spans="1:111">
      <c r="A113" t="s">
        <v>806</v>
      </c>
      <c r="B113" t="s">
        <v>807</v>
      </c>
      <c r="C113" t="s">
        <v>182</v>
      </c>
      <c r="D113" t="s">
        <v>808</v>
      </c>
      <c r="E113" t="s">
        <v>113</v>
      </c>
      <c r="F113" t="s">
        <v>114</v>
      </c>
      <c r="G113" t="s">
        <v>115</v>
      </c>
      <c r="H113" t="s">
        <v>113</v>
      </c>
      <c r="I113" t="s">
        <v>116</v>
      </c>
      <c r="J113" t="s">
        <v>117</v>
      </c>
      <c r="K113" t="s">
        <v>118</v>
      </c>
      <c r="L113" t="s">
        <v>118</v>
      </c>
      <c r="M113" t="s">
        <v>113</v>
      </c>
      <c r="N113" t="s">
        <v>118</v>
      </c>
      <c r="O113" t="s">
        <v>118</v>
      </c>
      <c r="P113" t="s">
        <v>117</v>
      </c>
      <c r="Q113" t="s">
        <v>117</v>
      </c>
      <c r="R113" t="s">
        <v>809</v>
      </c>
      <c r="S113" t="s">
        <v>182</v>
      </c>
      <c r="T113" t="s">
        <v>121</v>
      </c>
      <c r="U113" t="s">
        <v>122</v>
      </c>
      <c r="V113" t="s">
        <v>810</v>
      </c>
      <c r="W113" t="s">
        <v>135</v>
      </c>
      <c r="X113" t="s">
        <v>811</v>
      </c>
      <c r="Y113" t="s">
        <v>812</v>
      </c>
      <c r="Z113">
        <v>103573</v>
      </c>
      <c r="AA113">
        <v>103573</v>
      </c>
      <c r="AB113">
        <v>0</v>
      </c>
      <c r="AC113">
        <v>41429</v>
      </c>
      <c r="AD113">
        <v>41429</v>
      </c>
      <c r="AE113">
        <v>0</v>
      </c>
      <c r="AF113">
        <v>11393</v>
      </c>
      <c r="AG113">
        <v>11393</v>
      </c>
      <c r="AH113">
        <v>0</v>
      </c>
      <c r="AI113">
        <v>0</v>
      </c>
      <c r="AJ113">
        <v>0</v>
      </c>
      <c r="AK113">
        <v>0</v>
      </c>
      <c r="AL113">
        <v>10000</v>
      </c>
      <c r="AM113">
        <v>10000</v>
      </c>
      <c r="AN113">
        <v>0</v>
      </c>
      <c r="AO113">
        <v>0</v>
      </c>
      <c r="AP113">
        <v>0</v>
      </c>
      <c r="AQ113">
        <v>0</v>
      </c>
      <c r="AR113">
        <v>90738</v>
      </c>
      <c r="AS113">
        <v>90738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257133</v>
      </c>
      <c r="BI113">
        <v>257133</v>
      </c>
      <c r="BJ113">
        <v>0</v>
      </c>
      <c r="BK113">
        <v>0</v>
      </c>
      <c r="BL113">
        <v>41875</v>
      </c>
      <c r="BM113">
        <v>200</v>
      </c>
      <c r="BN113">
        <v>0</v>
      </c>
      <c r="BO113">
        <v>0</v>
      </c>
      <c r="BP113">
        <v>1800</v>
      </c>
      <c r="BQ113">
        <v>0</v>
      </c>
      <c r="BR113">
        <v>1800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43875</v>
      </c>
      <c r="CZ113">
        <v>213258</v>
      </c>
      <c r="DA113" t="s">
        <v>118</v>
      </c>
      <c r="DB113" t="s">
        <v>118</v>
      </c>
      <c r="DC113">
        <v>213258</v>
      </c>
      <c r="DE113">
        <v>213257</v>
      </c>
      <c r="DF113">
        <f t="shared" si="1"/>
        <v>1</v>
      </c>
    </row>
    <row r="114" spans="1:111">
      <c r="A114" t="s">
        <v>813</v>
      </c>
      <c r="B114" t="s">
        <v>814</v>
      </c>
      <c r="C114" t="s">
        <v>328</v>
      </c>
      <c r="D114" t="s">
        <v>815</v>
      </c>
      <c r="E114" s="4">
        <v>45971</v>
      </c>
      <c r="F114" t="s">
        <v>114</v>
      </c>
      <c r="G114" t="s">
        <v>115</v>
      </c>
      <c r="H114" t="s">
        <v>113</v>
      </c>
      <c r="I114" s="3" t="s">
        <v>309</v>
      </c>
      <c r="J114" t="s">
        <v>117</v>
      </c>
      <c r="K114" t="s">
        <v>118</v>
      </c>
      <c r="L114" t="s">
        <v>118</v>
      </c>
      <c r="M114" t="s">
        <v>113</v>
      </c>
      <c r="N114" t="s">
        <v>118</v>
      </c>
      <c r="O114" t="s">
        <v>118</v>
      </c>
      <c r="P114" t="s">
        <v>816</v>
      </c>
      <c r="Q114" t="s">
        <v>816</v>
      </c>
      <c r="R114" t="s">
        <v>817</v>
      </c>
      <c r="S114" t="s">
        <v>169</v>
      </c>
      <c r="T114" t="s">
        <v>121</v>
      </c>
      <c r="U114" t="s">
        <v>122</v>
      </c>
      <c r="V114" t="s">
        <v>818</v>
      </c>
      <c r="W114" t="s">
        <v>135</v>
      </c>
      <c r="X114" t="s">
        <v>819</v>
      </c>
      <c r="Y114" t="s">
        <v>820</v>
      </c>
      <c r="Z114">
        <v>101667</v>
      </c>
      <c r="AA114">
        <v>52473</v>
      </c>
      <c r="AB114">
        <v>0</v>
      </c>
      <c r="AC114">
        <v>40667</v>
      </c>
      <c r="AD114">
        <v>20989</v>
      </c>
      <c r="AE114">
        <v>0</v>
      </c>
      <c r="AF114">
        <v>11183</v>
      </c>
      <c r="AG114">
        <v>5772</v>
      </c>
      <c r="AH114">
        <v>0</v>
      </c>
      <c r="AI114">
        <v>0</v>
      </c>
      <c r="AJ114">
        <v>0</v>
      </c>
      <c r="AK114">
        <v>0</v>
      </c>
      <c r="AL114">
        <v>10000</v>
      </c>
      <c r="AM114">
        <v>5161</v>
      </c>
      <c r="AN114">
        <v>0</v>
      </c>
      <c r="AO114">
        <v>2200</v>
      </c>
      <c r="AP114">
        <v>1135</v>
      </c>
      <c r="AQ114">
        <v>0</v>
      </c>
      <c r="AR114">
        <v>86650</v>
      </c>
      <c r="AS114">
        <v>44723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130253</v>
      </c>
      <c r="BI114">
        <v>130253</v>
      </c>
      <c r="BJ114">
        <v>1135</v>
      </c>
      <c r="BK114">
        <v>0</v>
      </c>
      <c r="BL114">
        <v>0</v>
      </c>
      <c r="BM114">
        <v>200</v>
      </c>
      <c r="BN114">
        <v>0</v>
      </c>
      <c r="BO114">
        <v>0</v>
      </c>
      <c r="BP114">
        <v>1800</v>
      </c>
      <c r="BQ114">
        <v>0</v>
      </c>
      <c r="BR114">
        <v>1800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3135</v>
      </c>
      <c r="CZ114">
        <v>127118</v>
      </c>
      <c r="DA114" t="s">
        <v>118</v>
      </c>
      <c r="DB114" t="s">
        <v>118</v>
      </c>
      <c r="DC114">
        <v>127118</v>
      </c>
      <c r="DE114">
        <v>207779</v>
      </c>
      <c r="DF114">
        <f t="shared" si="1"/>
        <v>-80661</v>
      </c>
      <c r="DG114" t="s">
        <v>821</v>
      </c>
    </row>
    <row r="115" spans="1:111">
      <c r="A115" t="s">
        <v>822</v>
      </c>
      <c r="B115" t="s">
        <v>823</v>
      </c>
      <c r="C115" t="s">
        <v>824</v>
      </c>
      <c r="D115" t="s">
        <v>815</v>
      </c>
      <c r="E115" t="s">
        <v>113</v>
      </c>
      <c r="F115" t="s">
        <v>114</v>
      </c>
      <c r="G115" t="s">
        <v>115</v>
      </c>
      <c r="H115" t="s">
        <v>113</v>
      </c>
      <c r="I115" t="s">
        <v>116</v>
      </c>
      <c r="J115" t="s">
        <v>117</v>
      </c>
      <c r="K115" t="s">
        <v>118</v>
      </c>
      <c r="L115" t="s">
        <v>118</v>
      </c>
      <c r="M115" t="s">
        <v>113</v>
      </c>
      <c r="N115" t="s">
        <v>118</v>
      </c>
      <c r="O115" t="s">
        <v>118</v>
      </c>
      <c r="P115" t="s">
        <v>117</v>
      </c>
      <c r="Q115" t="s">
        <v>117</v>
      </c>
      <c r="R115" t="s">
        <v>825</v>
      </c>
      <c r="S115" t="s">
        <v>826</v>
      </c>
      <c r="T115" t="s">
        <v>121</v>
      </c>
      <c r="U115" t="s">
        <v>122</v>
      </c>
      <c r="V115" t="s">
        <v>827</v>
      </c>
      <c r="W115" t="s">
        <v>124</v>
      </c>
      <c r="X115" t="s">
        <v>828</v>
      </c>
      <c r="Y115" t="s">
        <v>829</v>
      </c>
      <c r="Z115">
        <v>48058</v>
      </c>
      <c r="AA115">
        <v>48058</v>
      </c>
      <c r="AB115">
        <v>0</v>
      </c>
      <c r="AC115">
        <v>19223</v>
      </c>
      <c r="AD115">
        <v>19223</v>
      </c>
      <c r="AE115">
        <v>0</v>
      </c>
      <c r="AF115">
        <v>5286</v>
      </c>
      <c r="AG115">
        <v>5286</v>
      </c>
      <c r="AH115">
        <v>0</v>
      </c>
      <c r="AI115">
        <v>0</v>
      </c>
      <c r="AJ115">
        <v>0</v>
      </c>
      <c r="AK115">
        <v>0</v>
      </c>
      <c r="AL115">
        <v>10000</v>
      </c>
      <c r="AM115">
        <v>10000</v>
      </c>
      <c r="AN115">
        <v>0</v>
      </c>
      <c r="AO115">
        <v>0</v>
      </c>
      <c r="AP115">
        <v>0</v>
      </c>
      <c r="AQ115">
        <v>0</v>
      </c>
      <c r="AR115">
        <v>35777</v>
      </c>
      <c r="AS115">
        <v>35777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118344</v>
      </c>
      <c r="BI115">
        <v>118344</v>
      </c>
      <c r="BJ115">
        <v>0</v>
      </c>
      <c r="BK115">
        <v>0</v>
      </c>
      <c r="BL115">
        <v>7086</v>
      </c>
      <c r="BM115">
        <v>200</v>
      </c>
      <c r="BN115">
        <v>0</v>
      </c>
      <c r="BO115">
        <v>0</v>
      </c>
      <c r="BP115">
        <v>1800</v>
      </c>
      <c r="BQ115">
        <v>0</v>
      </c>
      <c r="BR115">
        <v>1800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9086</v>
      </c>
      <c r="CZ115">
        <v>109258</v>
      </c>
      <c r="DA115" t="s">
        <v>118</v>
      </c>
      <c r="DB115" t="s">
        <v>118</v>
      </c>
      <c r="DC115">
        <v>109258</v>
      </c>
      <c r="DE115">
        <v>109257</v>
      </c>
      <c r="DF115">
        <f t="shared" si="1"/>
        <v>1</v>
      </c>
    </row>
    <row r="116" spans="1:111">
      <c r="A116" t="s">
        <v>830</v>
      </c>
      <c r="B116" t="s">
        <v>831</v>
      </c>
      <c r="C116" t="s">
        <v>111</v>
      </c>
      <c r="D116" t="s">
        <v>832</v>
      </c>
      <c r="E116" t="s">
        <v>113</v>
      </c>
      <c r="F116" t="s">
        <v>114</v>
      </c>
      <c r="G116" t="s">
        <v>115</v>
      </c>
      <c r="H116" t="s">
        <v>113</v>
      </c>
      <c r="I116" t="s">
        <v>116</v>
      </c>
      <c r="J116" t="s">
        <v>117</v>
      </c>
      <c r="K116" t="s">
        <v>118</v>
      </c>
      <c r="L116" t="s">
        <v>118</v>
      </c>
      <c r="M116" t="s">
        <v>113</v>
      </c>
      <c r="N116" t="s">
        <v>118</v>
      </c>
      <c r="O116" t="s">
        <v>118</v>
      </c>
      <c r="P116" t="s">
        <v>117</v>
      </c>
      <c r="Q116" t="s">
        <v>117</v>
      </c>
      <c r="R116" t="s">
        <v>428</v>
      </c>
      <c r="S116" t="s">
        <v>120</v>
      </c>
      <c r="T116" t="s">
        <v>121</v>
      </c>
      <c r="U116" t="s">
        <v>122</v>
      </c>
      <c r="V116" t="s">
        <v>833</v>
      </c>
      <c r="W116" t="s">
        <v>135</v>
      </c>
      <c r="X116" t="s">
        <v>834</v>
      </c>
      <c r="Y116" t="s">
        <v>835</v>
      </c>
      <c r="Z116">
        <v>21667</v>
      </c>
      <c r="AA116">
        <v>21667</v>
      </c>
      <c r="AB116">
        <v>0</v>
      </c>
      <c r="AC116">
        <v>8667</v>
      </c>
      <c r="AD116">
        <v>8667</v>
      </c>
      <c r="AE116">
        <v>0</v>
      </c>
      <c r="AF116">
        <v>2383</v>
      </c>
      <c r="AG116">
        <v>2383</v>
      </c>
      <c r="AH116">
        <v>0</v>
      </c>
      <c r="AI116">
        <v>0</v>
      </c>
      <c r="AJ116">
        <v>0</v>
      </c>
      <c r="AK116">
        <v>0</v>
      </c>
      <c r="AL116">
        <v>5417</v>
      </c>
      <c r="AM116">
        <v>5417</v>
      </c>
      <c r="AN116">
        <v>0</v>
      </c>
      <c r="AO116">
        <v>0</v>
      </c>
      <c r="AP116">
        <v>0</v>
      </c>
      <c r="AQ116">
        <v>0</v>
      </c>
      <c r="AR116">
        <v>14233</v>
      </c>
      <c r="AS116">
        <v>14233</v>
      </c>
      <c r="AT116">
        <v>0</v>
      </c>
      <c r="AU116">
        <v>0</v>
      </c>
      <c r="AV116">
        <v>0</v>
      </c>
      <c r="AW116">
        <v>15000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15000</v>
      </c>
      <c r="BH116">
        <v>67367</v>
      </c>
      <c r="BI116">
        <v>67367</v>
      </c>
      <c r="BJ116">
        <v>0</v>
      </c>
      <c r="BK116">
        <v>0</v>
      </c>
      <c r="BL116">
        <v>0</v>
      </c>
      <c r="BM116">
        <v>200</v>
      </c>
      <c r="BN116">
        <v>0</v>
      </c>
      <c r="BO116">
        <v>0</v>
      </c>
      <c r="BP116">
        <v>1800</v>
      </c>
      <c r="BQ116">
        <v>0</v>
      </c>
      <c r="BR116">
        <v>1800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2000</v>
      </c>
      <c r="CZ116">
        <v>65367</v>
      </c>
      <c r="DA116" t="s">
        <v>118</v>
      </c>
      <c r="DB116" t="s">
        <v>118</v>
      </c>
      <c r="DC116">
        <v>65367</v>
      </c>
      <c r="DE116">
        <v>59767</v>
      </c>
      <c r="DF116">
        <f t="shared" si="1"/>
        <v>5600</v>
      </c>
      <c r="DG116" t="s">
        <v>836</v>
      </c>
    </row>
    <row r="117" spans="1:111">
      <c r="A117" t="s">
        <v>837</v>
      </c>
      <c r="B117" t="s">
        <v>838</v>
      </c>
      <c r="C117" t="s">
        <v>182</v>
      </c>
      <c r="D117" t="s">
        <v>832</v>
      </c>
      <c r="E117" t="s">
        <v>113</v>
      </c>
      <c r="F117" t="s">
        <v>114</v>
      </c>
      <c r="G117" t="s">
        <v>115</v>
      </c>
      <c r="H117" t="s">
        <v>113</v>
      </c>
      <c r="I117" t="s">
        <v>116</v>
      </c>
      <c r="J117" t="s">
        <v>117</v>
      </c>
      <c r="K117" t="s">
        <v>118</v>
      </c>
      <c r="L117" t="s">
        <v>118</v>
      </c>
      <c r="M117" t="s">
        <v>113</v>
      </c>
      <c r="N117" t="s">
        <v>118</v>
      </c>
      <c r="O117" t="s">
        <v>118</v>
      </c>
      <c r="P117" t="s">
        <v>117</v>
      </c>
      <c r="Q117" t="s">
        <v>117</v>
      </c>
      <c r="R117" t="s">
        <v>652</v>
      </c>
      <c r="S117" t="s">
        <v>169</v>
      </c>
      <c r="T117" t="s">
        <v>121</v>
      </c>
      <c r="U117" t="s">
        <v>122</v>
      </c>
      <c r="V117" t="s">
        <v>839</v>
      </c>
      <c r="W117" t="s">
        <v>124</v>
      </c>
      <c r="X117" t="s">
        <v>840</v>
      </c>
      <c r="Y117" t="s">
        <v>841</v>
      </c>
      <c r="Z117">
        <v>64667</v>
      </c>
      <c r="AA117">
        <v>64667</v>
      </c>
      <c r="AB117">
        <v>0</v>
      </c>
      <c r="AC117">
        <v>25867</v>
      </c>
      <c r="AD117">
        <v>25867</v>
      </c>
      <c r="AE117">
        <v>0</v>
      </c>
      <c r="AF117">
        <v>7113</v>
      </c>
      <c r="AG117">
        <v>7113</v>
      </c>
      <c r="AH117">
        <v>0</v>
      </c>
      <c r="AI117">
        <v>0</v>
      </c>
      <c r="AJ117">
        <v>0</v>
      </c>
      <c r="AK117">
        <v>0</v>
      </c>
      <c r="AL117">
        <v>10000</v>
      </c>
      <c r="AM117">
        <v>10000</v>
      </c>
      <c r="AN117">
        <v>0</v>
      </c>
      <c r="AO117">
        <v>0</v>
      </c>
      <c r="AP117">
        <v>0</v>
      </c>
      <c r="AQ117">
        <v>0</v>
      </c>
      <c r="AR117">
        <v>46260</v>
      </c>
      <c r="AS117">
        <v>46260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153907</v>
      </c>
      <c r="BI117">
        <v>153907</v>
      </c>
      <c r="BJ117">
        <v>0</v>
      </c>
      <c r="BK117">
        <v>0</v>
      </c>
      <c r="BL117">
        <v>14535</v>
      </c>
      <c r="BM117">
        <v>200</v>
      </c>
      <c r="BN117">
        <v>0</v>
      </c>
      <c r="BO117">
        <v>0</v>
      </c>
      <c r="BP117">
        <v>7760</v>
      </c>
      <c r="BQ117">
        <v>0</v>
      </c>
      <c r="BR117">
        <v>7760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22495</v>
      </c>
      <c r="CZ117">
        <v>131412</v>
      </c>
      <c r="DA117" t="s">
        <v>118</v>
      </c>
      <c r="DB117" t="s">
        <v>118</v>
      </c>
      <c r="DC117">
        <v>131412</v>
      </c>
      <c r="DE117">
        <v>131412</v>
      </c>
      <c r="DF117">
        <f t="shared" si="1"/>
        <v>0</v>
      </c>
    </row>
    <row r="118" spans="1:111">
      <c r="A118" t="s">
        <v>842</v>
      </c>
      <c r="B118" t="s">
        <v>843</v>
      </c>
      <c r="C118" t="s">
        <v>182</v>
      </c>
      <c r="D118" t="s">
        <v>844</v>
      </c>
      <c r="E118" t="s">
        <v>113</v>
      </c>
      <c r="F118" t="s">
        <v>114</v>
      </c>
      <c r="G118" t="s">
        <v>115</v>
      </c>
      <c r="H118" t="s">
        <v>113</v>
      </c>
      <c r="I118" t="s">
        <v>116</v>
      </c>
      <c r="J118" t="s">
        <v>117</v>
      </c>
      <c r="K118" t="s">
        <v>118</v>
      </c>
      <c r="L118" t="s">
        <v>118</v>
      </c>
      <c r="M118" t="s">
        <v>113</v>
      </c>
      <c r="N118" t="s">
        <v>118</v>
      </c>
      <c r="O118" t="s">
        <v>118</v>
      </c>
      <c r="P118" t="s">
        <v>117</v>
      </c>
      <c r="Q118" t="s">
        <v>117</v>
      </c>
      <c r="R118" t="s">
        <v>707</v>
      </c>
      <c r="S118" t="s">
        <v>182</v>
      </c>
      <c r="T118" t="s">
        <v>121</v>
      </c>
      <c r="U118" t="s">
        <v>122</v>
      </c>
      <c r="V118" t="s">
        <v>845</v>
      </c>
      <c r="W118" t="s">
        <v>135</v>
      </c>
      <c r="X118" t="s">
        <v>846</v>
      </c>
      <c r="Y118" t="s">
        <v>847</v>
      </c>
      <c r="Z118">
        <v>10448</v>
      </c>
      <c r="AA118">
        <v>10448</v>
      </c>
      <c r="AB118">
        <v>0</v>
      </c>
      <c r="AC118">
        <v>4179</v>
      </c>
      <c r="AD118">
        <v>4179</v>
      </c>
      <c r="AE118">
        <v>0</v>
      </c>
      <c r="AF118">
        <v>1149</v>
      </c>
      <c r="AG118">
        <v>1149</v>
      </c>
      <c r="AH118">
        <v>0</v>
      </c>
      <c r="AI118">
        <v>0</v>
      </c>
      <c r="AJ118">
        <v>0</v>
      </c>
      <c r="AK118">
        <v>0</v>
      </c>
      <c r="AL118">
        <v>2606</v>
      </c>
      <c r="AM118">
        <v>2606</v>
      </c>
      <c r="AN118">
        <v>0</v>
      </c>
      <c r="AO118">
        <v>0</v>
      </c>
      <c r="AP118">
        <v>0</v>
      </c>
      <c r="AQ118">
        <v>0</v>
      </c>
      <c r="AR118">
        <v>5938</v>
      </c>
      <c r="AS118">
        <v>5938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24320</v>
      </c>
      <c r="BI118">
        <v>24320</v>
      </c>
      <c r="BJ118">
        <v>0</v>
      </c>
      <c r="BK118">
        <v>0</v>
      </c>
      <c r="BL118">
        <v>0</v>
      </c>
      <c r="BM118">
        <v>200</v>
      </c>
      <c r="BN118">
        <v>0</v>
      </c>
      <c r="BO118">
        <v>0</v>
      </c>
      <c r="BP118">
        <v>1800</v>
      </c>
      <c r="BQ118">
        <v>0</v>
      </c>
      <c r="BR118">
        <v>1800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2000</v>
      </c>
      <c r="CZ118">
        <v>22320</v>
      </c>
      <c r="DA118" t="s">
        <v>118</v>
      </c>
      <c r="DB118" t="s">
        <v>118</v>
      </c>
      <c r="DC118">
        <v>22320</v>
      </c>
      <c r="DE118">
        <v>22320</v>
      </c>
      <c r="DF118">
        <f t="shared" si="1"/>
        <v>0</v>
      </c>
    </row>
    <row r="119" spans="1:111">
      <c r="A119" t="s">
        <v>848</v>
      </c>
      <c r="B119" t="s">
        <v>849</v>
      </c>
      <c r="C119" t="s">
        <v>182</v>
      </c>
      <c r="D119" t="s">
        <v>844</v>
      </c>
      <c r="E119" t="s">
        <v>113</v>
      </c>
      <c r="F119" t="s">
        <v>114</v>
      </c>
      <c r="G119" t="s">
        <v>115</v>
      </c>
      <c r="H119" t="s">
        <v>113</v>
      </c>
      <c r="I119" t="s">
        <v>116</v>
      </c>
      <c r="J119" t="s">
        <v>117</v>
      </c>
      <c r="K119" t="s">
        <v>118</v>
      </c>
      <c r="L119" t="s">
        <v>118</v>
      </c>
      <c r="M119" t="s">
        <v>113</v>
      </c>
      <c r="N119" t="s">
        <v>118</v>
      </c>
      <c r="O119" t="s">
        <v>118</v>
      </c>
      <c r="P119" t="s">
        <v>117</v>
      </c>
      <c r="Q119" t="s">
        <v>117</v>
      </c>
      <c r="R119" t="s">
        <v>707</v>
      </c>
      <c r="S119" t="s">
        <v>182</v>
      </c>
      <c r="T119" t="s">
        <v>121</v>
      </c>
      <c r="U119" t="s">
        <v>122</v>
      </c>
      <c r="V119" t="s">
        <v>850</v>
      </c>
      <c r="W119" t="s">
        <v>135</v>
      </c>
      <c r="X119" t="s">
        <v>846</v>
      </c>
      <c r="Y119" t="s">
        <v>851</v>
      </c>
      <c r="Z119">
        <v>10448</v>
      </c>
      <c r="AA119">
        <v>10448</v>
      </c>
      <c r="AB119">
        <v>0</v>
      </c>
      <c r="AC119">
        <v>4179</v>
      </c>
      <c r="AD119">
        <v>4179</v>
      </c>
      <c r="AE119">
        <v>0</v>
      </c>
      <c r="AF119">
        <v>1149</v>
      </c>
      <c r="AG119">
        <v>1149</v>
      </c>
      <c r="AH119">
        <v>0</v>
      </c>
      <c r="AI119">
        <v>0</v>
      </c>
      <c r="AJ119">
        <v>0</v>
      </c>
      <c r="AK119">
        <v>0</v>
      </c>
      <c r="AL119">
        <v>2606</v>
      </c>
      <c r="AM119">
        <v>2606</v>
      </c>
      <c r="AN119">
        <v>0</v>
      </c>
      <c r="AO119">
        <v>0</v>
      </c>
      <c r="AP119">
        <v>0</v>
      </c>
      <c r="AQ119">
        <v>0</v>
      </c>
      <c r="AR119">
        <v>5938</v>
      </c>
      <c r="AS119">
        <v>5938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24320</v>
      </c>
      <c r="BI119">
        <v>24320</v>
      </c>
      <c r="BJ119">
        <v>0</v>
      </c>
      <c r="BK119">
        <v>0</v>
      </c>
      <c r="BL119">
        <v>0</v>
      </c>
      <c r="BM119">
        <v>200</v>
      </c>
      <c r="BN119">
        <v>0</v>
      </c>
      <c r="BO119">
        <v>0</v>
      </c>
      <c r="BP119">
        <v>1800</v>
      </c>
      <c r="BQ119">
        <v>0</v>
      </c>
      <c r="BR119">
        <v>1800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2000</v>
      </c>
      <c r="CZ119">
        <v>22320</v>
      </c>
      <c r="DA119" t="s">
        <v>118</v>
      </c>
      <c r="DB119" t="s">
        <v>118</v>
      </c>
      <c r="DC119">
        <v>22320</v>
      </c>
      <c r="DE119">
        <v>22320</v>
      </c>
      <c r="DF119">
        <f t="shared" si="1"/>
        <v>0</v>
      </c>
    </row>
    <row r="120" spans="1:111">
      <c r="A120" t="s">
        <v>852</v>
      </c>
      <c r="B120" t="s">
        <v>853</v>
      </c>
      <c r="C120" t="s">
        <v>182</v>
      </c>
      <c r="D120" t="s">
        <v>844</v>
      </c>
      <c r="E120" t="s">
        <v>113</v>
      </c>
      <c r="F120" t="s">
        <v>114</v>
      </c>
      <c r="G120" t="s">
        <v>115</v>
      </c>
      <c r="H120" t="s">
        <v>113</v>
      </c>
      <c r="I120" t="s">
        <v>116</v>
      </c>
      <c r="J120" t="s">
        <v>117</v>
      </c>
      <c r="K120" t="s">
        <v>118</v>
      </c>
      <c r="L120" t="s">
        <v>118</v>
      </c>
      <c r="M120" t="s">
        <v>113</v>
      </c>
      <c r="N120" t="s">
        <v>118</v>
      </c>
      <c r="O120" t="s">
        <v>118</v>
      </c>
      <c r="P120" t="s">
        <v>117</v>
      </c>
      <c r="Q120" t="s">
        <v>117</v>
      </c>
      <c r="R120" t="s">
        <v>707</v>
      </c>
      <c r="S120" t="s">
        <v>182</v>
      </c>
      <c r="T120" t="s">
        <v>121</v>
      </c>
      <c r="U120" t="s">
        <v>122</v>
      </c>
      <c r="V120" t="s">
        <v>854</v>
      </c>
      <c r="W120" t="s">
        <v>135</v>
      </c>
      <c r="X120" t="s">
        <v>846</v>
      </c>
      <c r="Y120" t="s">
        <v>855</v>
      </c>
      <c r="Z120">
        <v>10448</v>
      </c>
      <c r="AA120">
        <v>10448</v>
      </c>
      <c r="AB120">
        <v>0</v>
      </c>
      <c r="AC120">
        <v>4179</v>
      </c>
      <c r="AD120">
        <v>4179</v>
      </c>
      <c r="AE120">
        <v>0</v>
      </c>
      <c r="AF120">
        <v>1149</v>
      </c>
      <c r="AG120">
        <v>1149</v>
      </c>
      <c r="AH120">
        <v>0</v>
      </c>
      <c r="AI120">
        <v>0</v>
      </c>
      <c r="AJ120">
        <v>0</v>
      </c>
      <c r="AK120">
        <v>0</v>
      </c>
      <c r="AL120">
        <v>2606</v>
      </c>
      <c r="AM120">
        <v>2606</v>
      </c>
      <c r="AN120">
        <v>0</v>
      </c>
      <c r="AO120">
        <v>0</v>
      </c>
      <c r="AP120">
        <v>0</v>
      </c>
      <c r="AQ120">
        <v>0</v>
      </c>
      <c r="AR120">
        <v>5938</v>
      </c>
      <c r="AS120">
        <v>5938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24320</v>
      </c>
      <c r="BI120">
        <v>24320</v>
      </c>
      <c r="BJ120">
        <v>0</v>
      </c>
      <c r="BK120">
        <v>0</v>
      </c>
      <c r="BL120">
        <v>0</v>
      </c>
      <c r="BM120">
        <v>200</v>
      </c>
      <c r="BN120">
        <v>0</v>
      </c>
      <c r="BO120">
        <v>0</v>
      </c>
      <c r="BP120">
        <v>1800</v>
      </c>
      <c r="BQ120">
        <v>0</v>
      </c>
      <c r="BR120">
        <v>1800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2000</v>
      </c>
      <c r="CZ120">
        <v>22320</v>
      </c>
      <c r="DA120" t="s">
        <v>118</v>
      </c>
      <c r="DB120" t="s">
        <v>118</v>
      </c>
      <c r="DC120">
        <v>22320</v>
      </c>
      <c r="DE120">
        <v>22320</v>
      </c>
      <c r="DF120">
        <f t="shared" si="1"/>
        <v>0</v>
      </c>
    </row>
    <row r="121" spans="1:111">
      <c r="A121" t="s">
        <v>856</v>
      </c>
      <c r="B121" t="s">
        <v>857</v>
      </c>
      <c r="C121" t="s">
        <v>858</v>
      </c>
      <c r="D121" t="s">
        <v>859</v>
      </c>
      <c r="E121" t="s">
        <v>113</v>
      </c>
      <c r="F121" t="s">
        <v>114</v>
      </c>
      <c r="G121" t="s">
        <v>115</v>
      </c>
      <c r="H121" t="s">
        <v>113</v>
      </c>
      <c r="I121" t="s">
        <v>116</v>
      </c>
      <c r="J121" t="s">
        <v>117</v>
      </c>
      <c r="K121" t="s">
        <v>118</v>
      </c>
      <c r="L121" t="s">
        <v>118</v>
      </c>
      <c r="M121" t="s">
        <v>113</v>
      </c>
      <c r="N121" t="s">
        <v>118</v>
      </c>
      <c r="O121" t="s">
        <v>118</v>
      </c>
      <c r="P121" t="s">
        <v>117</v>
      </c>
      <c r="Q121" t="s">
        <v>117</v>
      </c>
      <c r="R121" t="s">
        <v>860</v>
      </c>
      <c r="S121" t="s">
        <v>861</v>
      </c>
      <c r="T121" t="s">
        <v>121</v>
      </c>
      <c r="U121" t="s">
        <v>122</v>
      </c>
      <c r="V121" t="s">
        <v>862</v>
      </c>
      <c r="W121" t="s">
        <v>135</v>
      </c>
      <c r="X121" t="s">
        <v>863</v>
      </c>
      <c r="Y121" t="s">
        <v>864</v>
      </c>
      <c r="Z121">
        <v>204079</v>
      </c>
      <c r="AA121">
        <v>204079</v>
      </c>
      <c r="AB121">
        <v>0</v>
      </c>
      <c r="AC121">
        <v>81631</v>
      </c>
      <c r="AD121">
        <v>81631</v>
      </c>
      <c r="AE121">
        <v>0</v>
      </c>
      <c r="AF121">
        <v>22449</v>
      </c>
      <c r="AG121">
        <v>22449</v>
      </c>
      <c r="AH121">
        <v>0</v>
      </c>
      <c r="AI121">
        <v>0</v>
      </c>
      <c r="AJ121">
        <v>0</v>
      </c>
      <c r="AK121">
        <v>0</v>
      </c>
      <c r="AL121">
        <v>10000</v>
      </c>
      <c r="AM121">
        <v>10000</v>
      </c>
      <c r="AN121">
        <v>0</v>
      </c>
      <c r="AO121">
        <v>0</v>
      </c>
      <c r="AP121">
        <v>0</v>
      </c>
      <c r="AQ121">
        <v>0</v>
      </c>
      <c r="AR121">
        <v>167548</v>
      </c>
      <c r="AS121">
        <v>167548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485707</v>
      </c>
      <c r="BI121">
        <v>485707</v>
      </c>
      <c r="BJ121">
        <v>0</v>
      </c>
      <c r="BK121">
        <v>0</v>
      </c>
      <c r="BL121">
        <v>124510</v>
      </c>
      <c r="BM121">
        <v>200</v>
      </c>
      <c r="BN121">
        <v>0</v>
      </c>
      <c r="BO121">
        <v>0</v>
      </c>
      <c r="BP121">
        <v>24489</v>
      </c>
      <c r="BQ121">
        <v>0</v>
      </c>
      <c r="BR121">
        <v>24489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149199</v>
      </c>
      <c r="CZ121">
        <v>336508</v>
      </c>
      <c r="DA121" t="s">
        <v>118</v>
      </c>
      <c r="DB121" t="s">
        <v>118</v>
      </c>
      <c r="DC121">
        <v>336508</v>
      </c>
      <c r="DE121">
        <v>336508</v>
      </c>
      <c r="DF121">
        <f t="shared" si="1"/>
        <v>0</v>
      </c>
    </row>
    <row r="122" spans="1:111">
      <c r="A122" t="s">
        <v>865</v>
      </c>
      <c r="B122" t="s">
        <v>866</v>
      </c>
      <c r="C122" t="s">
        <v>182</v>
      </c>
      <c r="D122" t="s">
        <v>867</v>
      </c>
      <c r="E122" t="s">
        <v>113</v>
      </c>
      <c r="F122" t="s">
        <v>114</v>
      </c>
      <c r="G122" t="s">
        <v>115</v>
      </c>
      <c r="H122" t="s">
        <v>113</v>
      </c>
      <c r="I122" t="s">
        <v>116</v>
      </c>
      <c r="J122" t="s">
        <v>117</v>
      </c>
      <c r="K122" t="s">
        <v>118</v>
      </c>
      <c r="L122" t="s">
        <v>118</v>
      </c>
      <c r="M122" t="s">
        <v>113</v>
      </c>
      <c r="N122" t="s">
        <v>118</v>
      </c>
      <c r="O122" t="s">
        <v>118</v>
      </c>
      <c r="P122" t="s">
        <v>117</v>
      </c>
      <c r="Q122" t="s">
        <v>117</v>
      </c>
      <c r="R122" t="s">
        <v>680</v>
      </c>
      <c r="S122" t="s">
        <v>169</v>
      </c>
      <c r="T122" t="s">
        <v>121</v>
      </c>
      <c r="U122" t="s">
        <v>122</v>
      </c>
      <c r="V122" t="s">
        <v>868</v>
      </c>
      <c r="W122" t="s">
        <v>135</v>
      </c>
      <c r="X122" t="s">
        <v>869</v>
      </c>
      <c r="Y122" t="s">
        <v>870</v>
      </c>
      <c r="Z122">
        <v>63000</v>
      </c>
      <c r="AA122">
        <v>63000</v>
      </c>
      <c r="AB122">
        <v>0</v>
      </c>
      <c r="AC122">
        <v>25200</v>
      </c>
      <c r="AD122">
        <v>25200</v>
      </c>
      <c r="AE122">
        <v>0</v>
      </c>
      <c r="AF122">
        <v>6930</v>
      </c>
      <c r="AG122">
        <v>6930</v>
      </c>
      <c r="AH122">
        <v>0</v>
      </c>
      <c r="AI122">
        <v>0</v>
      </c>
      <c r="AJ122">
        <v>0</v>
      </c>
      <c r="AK122">
        <v>0</v>
      </c>
      <c r="AL122">
        <v>10000</v>
      </c>
      <c r="AM122">
        <v>10000</v>
      </c>
      <c r="AN122">
        <v>0</v>
      </c>
      <c r="AO122">
        <v>0</v>
      </c>
      <c r="AP122">
        <v>0</v>
      </c>
      <c r="AQ122">
        <v>0</v>
      </c>
      <c r="AR122">
        <v>50570</v>
      </c>
      <c r="AS122">
        <v>50570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155700</v>
      </c>
      <c r="BI122">
        <v>155700</v>
      </c>
      <c r="BJ122">
        <v>0</v>
      </c>
      <c r="BK122">
        <v>0</v>
      </c>
      <c r="BL122">
        <v>15832</v>
      </c>
      <c r="BM122">
        <v>200</v>
      </c>
      <c r="BN122">
        <v>0</v>
      </c>
      <c r="BO122">
        <v>0</v>
      </c>
      <c r="BP122">
        <v>1800</v>
      </c>
      <c r="BQ122">
        <v>0</v>
      </c>
      <c r="BR122">
        <v>1800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17832</v>
      </c>
      <c r="CZ122">
        <v>137868</v>
      </c>
      <c r="DA122" t="s">
        <v>118</v>
      </c>
      <c r="DB122" t="s">
        <v>118</v>
      </c>
      <c r="DC122">
        <v>137868</v>
      </c>
      <c r="DE122">
        <v>137867</v>
      </c>
      <c r="DF122">
        <f t="shared" si="1"/>
        <v>1</v>
      </c>
    </row>
    <row r="123" spans="1:111">
      <c r="A123" t="s">
        <v>871</v>
      </c>
      <c r="B123" t="s">
        <v>872</v>
      </c>
      <c r="C123" t="s">
        <v>182</v>
      </c>
      <c r="D123" t="s">
        <v>873</v>
      </c>
      <c r="E123" t="s">
        <v>113</v>
      </c>
      <c r="F123" t="s">
        <v>114</v>
      </c>
      <c r="G123" t="s">
        <v>115</v>
      </c>
      <c r="H123" t="s">
        <v>113</v>
      </c>
      <c r="I123" t="s">
        <v>116</v>
      </c>
      <c r="J123" t="s">
        <v>117</v>
      </c>
      <c r="K123" t="s">
        <v>118</v>
      </c>
      <c r="L123" t="s">
        <v>118</v>
      </c>
      <c r="M123" t="s">
        <v>113</v>
      </c>
      <c r="N123" t="s">
        <v>118</v>
      </c>
      <c r="O123" t="s">
        <v>118</v>
      </c>
      <c r="P123" t="s">
        <v>117</v>
      </c>
      <c r="Q123" t="s">
        <v>117</v>
      </c>
      <c r="R123" t="s">
        <v>296</v>
      </c>
      <c r="S123" t="s">
        <v>182</v>
      </c>
      <c r="T123" t="s">
        <v>121</v>
      </c>
      <c r="U123" t="s">
        <v>122</v>
      </c>
      <c r="V123" t="s">
        <v>874</v>
      </c>
      <c r="W123" t="s">
        <v>124</v>
      </c>
      <c r="X123" t="s">
        <v>875</v>
      </c>
      <c r="Y123" t="s">
        <v>876</v>
      </c>
      <c r="Z123">
        <v>96667</v>
      </c>
      <c r="AA123">
        <v>96667</v>
      </c>
      <c r="AB123">
        <v>0</v>
      </c>
      <c r="AC123">
        <v>38667</v>
      </c>
      <c r="AD123">
        <v>38667</v>
      </c>
      <c r="AE123">
        <v>0</v>
      </c>
      <c r="AF123">
        <v>10633</v>
      </c>
      <c r="AG123">
        <v>10633</v>
      </c>
      <c r="AH123">
        <v>0</v>
      </c>
      <c r="AI123">
        <v>0</v>
      </c>
      <c r="AJ123">
        <v>0</v>
      </c>
      <c r="AK123">
        <v>0</v>
      </c>
      <c r="AL123">
        <v>10000</v>
      </c>
      <c r="AM123">
        <v>10000</v>
      </c>
      <c r="AN123">
        <v>0</v>
      </c>
      <c r="AO123">
        <v>0</v>
      </c>
      <c r="AP123">
        <v>0</v>
      </c>
      <c r="AQ123">
        <v>0</v>
      </c>
      <c r="AR123">
        <v>74100</v>
      </c>
      <c r="AS123">
        <v>74100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230067</v>
      </c>
      <c r="BI123">
        <v>230067</v>
      </c>
      <c r="BJ123">
        <v>0</v>
      </c>
      <c r="BK123">
        <v>0</v>
      </c>
      <c r="BL123">
        <v>36898</v>
      </c>
      <c r="BM123">
        <v>200</v>
      </c>
      <c r="BN123">
        <v>0</v>
      </c>
      <c r="BO123">
        <v>0</v>
      </c>
      <c r="BP123">
        <v>11600</v>
      </c>
      <c r="BQ123">
        <v>0</v>
      </c>
      <c r="BR123">
        <v>11600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48698</v>
      </c>
      <c r="CZ123">
        <v>181369</v>
      </c>
      <c r="DA123" t="s">
        <v>118</v>
      </c>
      <c r="DB123" t="s">
        <v>118</v>
      </c>
      <c r="DC123">
        <v>181369</v>
      </c>
      <c r="DE123">
        <v>181369</v>
      </c>
      <c r="DF123">
        <f t="shared" si="1"/>
        <v>0</v>
      </c>
    </row>
    <row r="124" spans="1:111">
      <c r="A124" t="s">
        <v>877</v>
      </c>
      <c r="B124" t="s">
        <v>878</v>
      </c>
      <c r="C124" t="s">
        <v>182</v>
      </c>
      <c r="D124" t="s">
        <v>879</v>
      </c>
      <c r="E124" t="s">
        <v>113</v>
      </c>
      <c r="F124" t="s">
        <v>114</v>
      </c>
      <c r="G124" t="s">
        <v>115</v>
      </c>
      <c r="H124" t="s">
        <v>113</v>
      </c>
      <c r="I124" t="s">
        <v>116</v>
      </c>
      <c r="J124" t="s">
        <v>117</v>
      </c>
      <c r="K124" t="s">
        <v>118</v>
      </c>
      <c r="L124" t="s">
        <v>118</v>
      </c>
      <c r="M124" t="s">
        <v>113</v>
      </c>
      <c r="N124" t="s">
        <v>118</v>
      </c>
      <c r="O124" t="s">
        <v>118</v>
      </c>
      <c r="P124" t="s">
        <v>117</v>
      </c>
      <c r="Q124" t="s">
        <v>117</v>
      </c>
      <c r="R124" t="s">
        <v>652</v>
      </c>
      <c r="S124" t="s">
        <v>169</v>
      </c>
      <c r="T124" t="s">
        <v>121</v>
      </c>
      <c r="U124" t="s">
        <v>122</v>
      </c>
      <c r="V124" t="s">
        <v>880</v>
      </c>
      <c r="W124" t="s">
        <v>135</v>
      </c>
      <c r="X124" t="s">
        <v>881</v>
      </c>
      <c r="Y124" t="s">
        <v>882</v>
      </c>
      <c r="Z124">
        <v>81667</v>
      </c>
      <c r="AA124">
        <v>81667</v>
      </c>
      <c r="AB124">
        <v>0</v>
      </c>
      <c r="AC124">
        <v>32667</v>
      </c>
      <c r="AD124">
        <v>32667</v>
      </c>
      <c r="AE124">
        <v>0</v>
      </c>
      <c r="AF124">
        <v>8983</v>
      </c>
      <c r="AG124">
        <v>8983</v>
      </c>
      <c r="AH124">
        <v>0</v>
      </c>
      <c r="AI124">
        <v>0</v>
      </c>
      <c r="AJ124">
        <v>0</v>
      </c>
      <c r="AK124">
        <v>0</v>
      </c>
      <c r="AL124">
        <v>10000</v>
      </c>
      <c r="AM124">
        <v>10000</v>
      </c>
      <c r="AN124">
        <v>0</v>
      </c>
      <c r="AO124">
        <v>0</v>
      </c>
      <c r="AP124">
        <v>0</v>
      </c>
      <c r="AQ124">
        <v>0</v>
      </c>
      <c r="AR124">
        <v>69050</v>
      </c>
      <c r="AS124">
        <v>69050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202367</v>
      </c>
      <c r="BI124">
        <v>202367</v>
      </c>
      <c r="BJ124">
        <v>0</v>
      </c>
      <c r="BK124">
        <v>0</v>
      </c>
      <c r="BL124">
        <v>25719</v>
      </c>
      <c r="BM124">
        <v>200</v>
      </c>
      <c r="BN124">
        <v>0</v>
      </c>
      <c r="BO124">
        <v>0</v>
      </c>
      <c r="BP124">
        <v>1800</v>
      </c>
      <c r="BQ124">
        <v>0</v>
      </c>
      <c r="BR124">
        <v>1800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27719</v>
      </c>
      <c r="CZ124">
        <v>174648</v>
      </c>
      <c r="DA124" t="s">
        <v>118</v>
      </c>
      <c r="DB124" t="s">
        <v>118</v>
      </c>
      <c r="DC124">
        <v>174648</v>
      </c>
      <c r="DE124">
        <v>174649</v>
      </c>
      <c r="DF124">
        <f t="shared" si="1"/>
        <v>-1</v>
      </c>
    </row>
    <row r="125" spans="1:111">
      <c r="A125" t="s">
        <v>883</v>
      </c>
      <c r="B125" t="s">
        <v>884</v>
      </c>
      <c r="C125" t="s">
        <v>182</v>
      </c>
      <c r="D125" t="s">
        <v>885</v>
      </c>
      <c r="E125" t="s">
        <v>113</v>
      </c>
      <c r="F125" t="s">
        <v>114</v>
      </c>
      <c r="G125" t="s">
        <v>115</v>
      </c>
      <c r="H125" t="s">
        <v>113</v>
      </c>
      <c r="I125" t="s">
        <v>116</v>
      </c>
      <c r="J125" t="s">
        <v>117</v>
      </c>
      <c r="K125" t="s">
        <v>118</v>
      </c>
      <c r="L125" t="s">
        <v>118</v>
      </c>
      <c r="M125" t="s">
        <v>113</v>
      </c>
      <c r="N125" t="s">
        <v>118</v>
      </c>
      <c r="O125" t="s">
        <v>118</v>
      </c>
      <c r="P125" t="s">
        <v>117</v>
      </c>
      <c r="Q125" t="s">
        <v>117</v>
      </c>
      <c r="R125" t="s">
        <v>652</v>
      </c>
      <c r="S125" t="s">
        <v>169</v>
      </c>
      <c r="T125" t="s">
        <v>121</v>
      </c>
      <c r="U125" t="s">
        <v>122</v>
      </c>
      <c r="V125" t="s">
        <v>886</v>
      </c>
      <c r="W125" t="s">
        <v>135</v>
      </c>
      <c r="X125" t="s">
        <v>887</v>
      </c>
      <c r="Y125" t="s">
        <v>888</v>
      </c>
      <c r="Z125">
        <v>77000</v>
      </c>
      <c r="AA125">
        <v>77000</v>
      </c>
      <c r="AB125">
        <v>0</v>
      </c>
      <c r="AC125">
        <v>30800</v>
      </c>
      <c r="AD125">
        <v>30800</v>
      </c>
      <c r="AE125">
        <v>0</v>
      </c>
      <c r="AF125">
        <v>8470</v>
      </c>
      <c r="AG125">
        <v>8470</v>
      </c>
      <c r="AH125">
        <v>0</v>
      </c>
      <c r="AI125">
        <v>0</v>
      </c>
      <c r="AJ125">
        <v>0</v>
      </c>
      <c r="AK125">
        <v>0</v>
      </c>
      <c r="AL125">
        <v>10000</v>
      </c>
      <c r="AM125">
        <v>10000</v>
      </c>
      <c r="AN125">
        <v>0</v>
      </c>
      <c r="AO125">
        <v>0</v>
      </c>
      <c r="AP125">
        <v>0</v>
      </c>
      <c r="AQ125">
        <v>0</v>
      </c>
      <c r="AR125">
        <v>64430</v>
      </c>
      <c r="AS125">
        <v>64430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15000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15000</v>
      </c>
      <c r="BH125">
        <v>205700</v>
      </c>
      <c r="BI125">
        <v>205700</v>
      </c>
      <c r="BJ125">
        <v>0</v>
      </c>
      <c r="BK125">
        <v>0</v>
      </c>
      <c r="BL125">
        <v>23343</v>
      </c>
      <c r="BM125">
        <v>200</v>
      </c>
      <c r="BN125">
        <v>0</v>
      </c>
      <c r="BO125">
        <v>0</v>
      </c>
      <c r="BP125">
        <v>1800</v>
      </c>
      <c r="BQ125">
        <v>0</v>
      </c>
      <c r="BR125">
        <v>1800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25343</v>
      </c>
      <c r="CZ125">
        <v>180357</v>
      </c>
      <c r="DA125" t="s">
        <v>118</v>
      </c>
      <c r="DB125" t="s">
        <v>118</v>
      </c>
      <c r="DC125">
        <v>180357</v>
      </c>
      <c r="DE125">
        <v>166136</v>
      </c>
      <c r="DF125">
        <f t="shared" si="1"/>
        <v>14221</v>
      </c>
      <c r="DG125" t="s">
        <v>889</v>
      </c>
    </row>
    <row r="126" spans="1:111">
      <c r="A126" t="s">
        <v>890</v>
      </c>
      <c r="B126" t="s">
        <v>891</v>
      </c>
      <c r="C126" t="s">
        <v>182</v>
      </c>
      <c r="D126" t="s">
        <v>892</v>
      </c>
      <c r="E126" t="s">
        <v>113</v>
      </c>
      <c r="F126" t="s">
        <v>114</v>
      </c>
      <c r="G126" t="s">
        <v>115</v>
      </c>
      <c r="H126" t="s">
        <v>113</v>
      </c>
      <c r="I126" t="s">
        <v>116</v>
      </c>
      <c r="J126" t="s">
        <v>117</v>
      </c>
      <c r="K126" t="s">
        <v>118</v>
      </c>
      <c r="L126" t="s">
        <v>118</v>
      </c>
      <c r="M126" t="s">
        <v>113</v>
      </c>
      <c r="N126" t="s">
        <v>118</v>
      </c>
      <c r="O126" t="s">
        <v>118</v>
      </c>
      <c r="P126" t="s">
        <v>117</v>
      </c>
      <c r="Q126" t="s">
        <v>117</v>
      </c>
      <c r="R126" t="s">
        <v>680</v>
      </c>
      <c r="S126" t="s">
        <v>169</v>
      </c>
      <c r="T126" t="s">
        <v>121</v>
      </c>
      <c r="U126" t="s">
        <v>122</v>
      </c>
      <c r="V126" t="s">
        <v>893</v>
      </c>
      <c r="W126" t="s">
        <v>124</v>
      </c>
      <c r="X126" t="s">
        <v>756</v>
      </c>
      <c r="Y126" t="s">
        <v>894</v>
      </c>
      <c r="Z126">
        <v>63333</v>
      </c>
      <c r="AA126">
        <v>63333</v>
      </c>
      <c r="AB126">
        <v>0</v>
      </c>
      <c r="AC126">
        <v>25333</v>
      </c>
      <c r="AD126">
        <v>25333</v>
      </c>
      <c r="AE126">
        <v>0</v>
      </c>
      <c r="AF126">
        <v>6967</v>
      </c>
      <c r="AG126">
        <v>6967</v>
      </c>
      <c r="AH126">
        <v>0</v>
      </c>
      <c r="AI126">
        <v>0</v>
      </c>
      <c r="AJ126">
        <v>0</v>
      </c>
      <c r="AK126">
        <v>0</v>
      </c>
      <c r="AL126">
        <v>10000</v>
      </c>
      <c r="AM126">
        <v>10000</v>
      </c>
      <c r="AN126">
        <v>0</v>
      </c>
      <c r="AO126">
        <v>0</v>
      </c>
      <c r="AP126">
        <v>0</v>
      </c>
      <c r="AQ126">
        <v>0</v>
      </c>
      <c r="AR126">
        <v>50900</v>
      </c>
      <c r="AS126">
        <v>50900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156533</v>
      </c>
      <c r="BI126">
        <v>156533</v>
      </c>
      <c r="BJ126">
        <v>0</v>
      </c>
      <c r="BK126">
        <v>0</v>
      </c>
      <c r="BL126">
        <v>13636</v>
      </c>
      <c r="BM126">
        <v>200</v>
      </c>
      <c r="BN126">
        <v>0</v>
      </c>
      <c r="BO126">
        <v>0</v>
      </c>
      <c r="BP126">
        <v>1800</v>
      </c>
      <c r="BQ126">
        <v>0</v>
      </c>
      <c r="BR126">
        <v>1800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15636</v>
      </c>
      <c r="CZ126">
        <v>140897</v>
      </c>
      <c r="DA126" t="s">
        <v>118</v>
      </c>
      <c r="DB126" t="s">
        <v>118</v>
      </c>
      <c r="DC126">
        <v>140897</v>
      </c>
      <c r="DE126">
        <v>140897</v>
      </c>
      <c r="DF126">
        <f t="shared" si="1"/>
        <v>0</v>
      </c>
    </row>
    <row r="127" spans="1:111">
      <c r="A127" t="s">
        <v>895</v>
      </c>
      <c r="B127" t="s">
        <v>896</v>
      </c>
      <c r="C127" t="s">
        <v>182</v>
      </c>
      <c r="D127" t="s">
        <v>897</v>
      </c>
      <c r="E127" t="s">
        <v>113</v>
      </c>
      <c r="F127" t="s">
        <v>114</v>
      </c>
      <c r="G127" t="s">
        <v>115</v>
      </c>
      <c r="H127" t="s">
        <v>113</v>
      </c>
      <c r="I127" t="s">
        <v>116</v>
      </c>
      <c r="J127" t="s">
        <v>117</v>
      </c>
      <c r="K127" t="s">
        <v>118</v>
      </c>
      <c r="L127" t="s">
        <v>118</v>
      </c>
      <c r="M127" t="s">
        <v>113</v>
      </c>
      <c r="N127" t="s">
        <v>118</v>
      </c>
      <c r="O127" t="s">
        <v>118</v>
      </c>
      <c r="P127" t="s">
        <v>117</v>
      </c>
      <c r="Q127" t="s">
        <v>117</v>
      </c>
      <c r="R127" t="s">
        <v>652</v>
      </c>
      <c r="S127" t="s">
        <v>169</v>
      </c>
      <c r="T127" t="s">
        <v>121</v>
      </c>
      <c r="U127" t="s">
        <v>122</v>
      </c>
      <c r="V127" t="s">
        <v>898</v>
      </c>
      <c r="W127" t="s">
        <v>135</v>
      </c>
      <c r="X127" t="s">
        <v>899</v>
      </c>
      <c r="Y127" t="s">
        <v>900</v>
      </c>
      <c r="Z127">
        <v>50000</v>
      </c>
      <c r="AA127">
        <v>50000</v>
      </c>
      <c r="AB127">
        <v>0</v>
      </c>
      <c r="AC127">
        <v>20000</v>
      </c>
      <c r="AD127">
        <v>20000</v>
      </c>
      <c r="AE127">
        <v>0</v>
      </c>
      <c r="AF127">
        <v>5500</v>
      </c>
      <c r="AG127">
        <v>5500</v>
      </c>
      <c r="AH127">
        <v>0</v>
      </c>
      <c r="AI127">
        <v>0</v>
      </c>
      <c r="AJ127">
        <v>0</v>
      </c>
      <c r="AK127">
        <v>0</v>
      </c>
      <c r="AL127">
        <v>10000</v>
      </c>
      <c r="AM127">
        <v>10000</v>
      </c>
      <c r="AN127">
        <v>0</v>
      </c>
      <c r="AO127">
        <v>2200</v>
      </c>
      <c r="AP127">
        <v>2200</v>
      </c>
      <c r="AQ127">
        <v>0</v>
      </c>
      <c r="AR127">
        <v>35500</v>
      </c>
      <c r="AS127">
        <v>35500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123200</v>
      </c>
      <c r="BI127">
        <v>123200</v>
      </c>
      <c r="BJ127">
        <v>2200</v>
      </c>
      <c r="BK127">
        <v>0</v>
      </c>
      <c r="BL127">
        <v>7636</v>
      </c>
      <c r="BM127">
        <v>200</v>
      </c>
      <c r="BN127">
        <v>0</v>
      </c>
      <c r="BO127">
        <v>0</v>
      </c>
      <c r="BP127">
        <v>1800</v>
      </c>
      <c r="BQ127">
        <v>0</v>
      </c>
      <c r="BR127">
        <v>1800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11836</v>
      </c>
      <c r="CZ127">
        <v>111364</v>
      </c>
      <c r="DA127" t="s">
        <v>118</v>
      </c>
      <c r="DB127" t="s">
        <v>118</v>
      </c>
      <c r="DC127">
        <v>111364</v>
      </c>
      <c r="DE127">
        <v>111363</v>
      </c>
      <c r="DF127">
        <f t="shared" si="1"/>
        <v>1</v>
      </c>
    </row>
    <row r="128" spans="1:111">
      <c r="A128" t="s">
        <v>901</v>
      </c>
      <c r="B128" t="s">
        <v>902</v>
      </c>
      <c r="C128" t="s">
        <v>182</v>
      </c>
      <c r="D128" t="s">
        <v>903</v>
      </c>
      <c r="E128" t="s">
        <v>113</v>
      </c>
      <c r="F128" t="s">
        <v>114</v>
      </c>
      <c r="G128" t="s">
        <v>115</v>
      </c>
      <c r="H128" t="s">
        <v>113</v>
      </c>
      <c r="I128" t="s">
        <v>116</v>
      </c>
      <c r="J128" t="s">
        <v>117</v>
      </c>
      <c r="K128" t="s">
        <v>118</v>
      </c>
      <c r="L128" t="s">
        <v>118</v>
      </c>
      <c r="M128" t="s">
        <v>113</v>
      </c>
      <c r="N128" t="s">
        <v>118</v>
      </c>
      <c r="O128" t="s">
        <v>118</v>
      </c>
      <c r="P128" t="s">
        <v>117</v>
      </c>
      <c r="Q128" t="s">
        <v>117</v>
      </c>
      <c r="R128" t="s">
        <v>652</v>
      </c>
      <c r="S128" t="s">
        <v>169</v>
      </c>
      <c r="T128" t="s">
        <v>121</v>
      </c>
      <c r="U128" t="s">
        <v>122</v>
      </c>
      <c r="V128" t="s">
        <v>904</v>
      </c>
      <c r="W128" t="s">
        <v>124</v>
      </c>
      <c r="X128" t="s">
        <v>905</v>
      </c>
      <c r="Y128" t="s">
        <v>906</v>
      </c>
      <c r="Z128">
        <v>82500</v>
      </c>
      <c r="AA128">
        <v>82500</v>
      </c>
      <c r="AB128">
        <v>0</v>
      </c>
      <c r="AC128">
        <v>33000</v>
      </c>
      <c r="AD128">
        <v>33000</v>
      </c>
      <c r="AE128">
        <v>0</v>
      </c>
      <c r="AF128">
        <v>9075</v>
      </c>
      <c r="AG128">
        <v>9075</v>
      </c>
      <c r="AH128">
        <v>0</v>
      </c>
      <c r="AI128">
        <v>0</v>
      </c>
      <c r="AJ128">
        <v>0</v>
      </c>
      <c r="AK128">
        <v>0</v>
      </c>
      <c r="AL128">
        <v>10000</v>
      </c>
      <c r="AM128">
        <v>10000</v>
      </c>
      <c r="AN128">
        <v>0</v>
      </c>
      <c r="AO128">
        <v>2200</v>
      </c>
      <c r="AP128">
        <v>2200</v>
      </c>
      <c r="AQ128">
        <v>0</v>
      </c>
      <c r="AR128">
        <v>67675</v>
      </c>
      <c r="AS128">
        <v>67675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204450</v>
      </c>
      <c r="BI128">
        <v>204450</v>
      </c>
      <c r="BJ128">
        <v>2200</v>
      </c>
      <c r="BK128">
        <v>0</v>
      </c>
      <c r="BL128">
        <v>24961</v>
      </c>
      <c r="BM128">
        <v>200</v>
      </c>
      <c r="BN128">
        <v>0</v>
      </c>
      <c r="BO128">
        <v>0</v>
      </c>
      <c r="BP128">
        <v>1800</v>
      </c>
      <c r="BQ128">
        <v>0</v>
      </c>
      <c r="BR128">
        <v>1800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29161</v>
      </c>
      <c r="CZ128">
        <v>175289</v>
      </c>
      <c r="DA128" t="s">
        <v>118</v>
      </c>
      <c r="DB128" t="s">
        <v>118</v>
      </c>
      <c r="DC128">
        <v>175289</v>
      </c>
      <c r="DE128">
        <v>175289</v>
      </c>
      <c r="DF128">
        <f t="shared" si="1"/>
        <v>0</v>
      </c>
    </row>
    <row r="129" spans="1:111">
      <c r="A129" t="s">
        <v>907</v>
      </c>
      <c r="B129" t="s">
        <v>908</v>
      </c>
      <c r="C129" t="s">
        <v>182</v>
      </c>
      <c r="D129" t="s">
        <v>909</v>
      </c>
      <c r="E129" t="s">
        <v>113</v>
      </c>
      <c r="F129" t="s">
        <v>114</v>
      </c>
      <c r="G129" t="s">
        <v>115</v>
      </c>
      <c r="H129" t="s">
        <v>113</v>
      </c>
      <c r="I129" t="s">
        <v>116</v>
      </c>
      <c r="J129" t="s">
        <v>117</v>
      </c>
      <c r="K129" t="s">
        <v>118</v>
      </c>
      <c r="L129" t="s">
        <v>118</v>
      </c>
      <c r="M129" t="s">
        <v>113</v>
      </c>
      <c r="N129" t="s">
        <v>118</v>
      </c>
      <c r="O129" t="s">
        <v>118</v>
      </c>
      <c r="P129" t="s">
        <v>117</v>
      </c>
      <c r="Q129" t="s">
        <v>117</v>
      </c>
      <c r="R129" t="s">
        <v>652</v>
      </c>
      <c r="S129" t="s">
        <v>169</v>
      </c>
      <c r="T129" t="s">
        <v>121</v>
      </c>
      <c r="U129" t="s">
        <v>122</v>
      </c>
      <c r="V129" t="s">
        <v>910</v>
      </c>
      <c r="W129" t="s">
        <v>124</v>
      </c>
      <c r="X129" t="s">
        <v>911</v>
      </c>
      <c r="Y129" t="s">
        <v>912</v>
      </c>
      <c r="Z129">
        <v>83333</v>
      </c>
      <c r="AA129">
        <v>83333</v>
      </c>
      <c r="AB129">
        <v>0</v>
      </c>
      <c r="AC129">
        <v>33333</v>
      </c>
      <c r="AD129">
        <v>33333</v>
      </c>
      <c r="AE129">
        <v>0</v>
      </c>
      <c r="AF129">
        <v>9167</v>
      </c>
      <c r="AG129">
        <v>9167</v>
      </c>
      <c r="AH129">
        <v>0</v>
      </c>
      <c r="AI129">
        <v>0</v>
      </c>
      <c r="AJ129">
        <v>0</v>
      </c>
      <c r="AK129">
        <v>0</v>
      </c>
      <c r="AL129">
        <v>10000</v>
      </c>
      <c r="AM129">
        <v>10000</v>
      </c>
      <c r="AN129">
        <v>0</v>
      </c>
      <c r="AO129">
        <v>0</v>
      </c>
      <c r="AP129">
        <v>0</v>
      </c>
      <c r="AQ129">
        <v>0</v>
      </c>
      <c r="AR129">
        <v>70700</v>
      </c>
      <c r="AS129">
        <v>70700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206533</v>
      </c>
      <c r="BI129">
        <v>206533</v>
      </c>
      <c r="BJ129">
        <v>0</v>
      </c>
      <c r="BK129">
        <v>0</v>
      </c>
      <c r="BL129">
        <v>25926</v>
      </c>
      <c r="BM129">
        <v>200</v>
      </c>
      <c r="BN129">
        <v>0</v>
      </c>
      <c r="BO129">
        <v>0</v>
      </c>
      <c r="BP129">
        <v>1800</v>
      </c>
      <c r="BQ129">
        <v>0</v>
      </c>
      <c r="BR129">
        <v>1800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27926</v>
      </c>
      <c r="CZ129">
        <v>178607</v>
      </c>
      <c r="DA129" t="s">
        <v>118</v>
      </c>
      <c r="DB129" t="s">
        <v>118</v>
      </c>
      <c r="DC129">
        <v>178607</v>
      </c>
      <c r="DE129">
        <v>178607</v>
      </c>
      <c r="DF129">
        <f t="shared" si="1"/>
        <v>0</v>
      </c>
    </row>
    <row r="130" spans="1:111">
      <c r="A130" t="s">
        <v>913</v>
      </c>
      <c r="B130" t="s">
        <v>914</v>
      </c>
      <c r="C130" t="s">
        <v>182</v>
      </c>
      <c r="D130" t="s">
        <v>915</v>
      </c>
      <c r="E130" t="s">
        <v>113</v>
      </c>
      <c r="F130" t="s">
        <v>114</v>
      </c>
      <c r="G130" t="s">
        <v>115</v>
      </c>
      <c r="H130" t="s">
        <v>113</v>
      </c>
      <c r="I130" t="s">
        <v>116</v>
      </c>
      <c r="J130" t="s">
        <v>117</v>
      </c>
      <c r="K130" t="s">
        <v>118</v>
      </c>
      <c r="L130" t="s">
        <v>118</v>
      </c>
      <c r="M130" t="s">
        <v>113</v>
      </c>
      <c r="N130" t="s">
        <v>118</v>
      </c>
      <c r="O130" t="s">
        <v>118</v>
      </c>
      <c r="P130" t="s">
        <v>117</v>
      </c>
      <c r="Q130" t="s">
        <v>117</v>
      </c>
      <c r="R130" t="s">
        <v>652</v>
      </c>
      <c r="S130" t="s">
        <v>169</v>
      </c>
      <c r="T130" t="s">
        <v>121</v>
      </c>
      <c r="U130" t="s">
        <v>122</v>
      </c>
      <c r="V130" t="s">
        <v>916</v>
      </c>
      <c r="W130" t="s">
        <v>124</v>
      </c>
      <c r="X130" t="s">
        <v>917</v>
      </c>
      <c r="Y130" t="s">
        <v>918</v>
      </c>
      <c r="Z130">
        <v>116667</v>
      </c>
      <c r="AA130">
        <v>116667</v>
      </c>
      <c r="AB130">
        <v>0</v>
      </c>
      <c r="AC130">
        <v>46667</v>
      </c>
      <c r="AD130">
        <v>46667</v>
      </c>
      <c r="AE130">
        <v>0</v>
      </c>
      <c r="AF130">
        <v>12833</v>
      </c>
      <c r="AG130">
        <v>12833</v>
      </c>
      <c r="AH130">
        <v>0</v>
      </c>
      <c r="AI130">
        <v>0</v>
      </c>
      <c r="AJ130">
        <v>0</v>
      </c>
      <c r="AK130">
        <v>0</v>
      </c>
      <c r="AL130">
        <v>10000</v>
      </c>
      <c r="AM130">
        <v>10000</v>
      </c>
      <c r="AN130">
        <v>0</v>
      </c>
      <c r="AO130">
        <v>2200</v>
      </c>
      <c r="AP130">
        <v>2200</v>
      </c>
      <c r="AQ130">
        <v>0</v>
      </c>
      <c r="AR130">
        <v>89300</v>
      </c>
      <c r="AS130">
        <v>89300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277667</v>
      </c>
      <c r="BI130">
        <v>277667</v>
      </c>
      <c r="BJ130">
        <v>2200</v>
      </c>
      <c r="BK130">
        <v>0</v>
      </c>
      <c r="BL130">
        <v>45319</v>
      </c>
      <c r="BM130">
        <v>200</v>
      </c>
      <c r="BN130">
        <v>0</v>
      </c>
      <c r="BO130">
        <v>0</v>
      </c>
      <c r="BP130">
        <v>14000</v>
      </c>
      <c r="BQ130">
        <v>0</v>
      </c>
      <c r="BR130">
        <v>14000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61719</v>
      </c>
      <c r="CZ130">
        <v>215948</v>
      </c>
      <c r="DA130" t="s">
        <v>118</v>
      </c>
      <c r="DB130" t="s">
        <v>118</v>
      </c>
      <c r="DC130">
        <v>215948</v>
      </c>
      <c r="DE130">
        <v>215949</v>
      </c>
      <c r="DF130">
        <f t="shared" si="1"/>
        <v>-1</v>
      </c>
    </row>
    <row r="131" spans="1:111">
      <c r="A131" t="s">
        <v>919</v>
      </c>
      <c r="B131" t="s">
        <v>920</v>
      </c>
      <c r="C131" t="s">
        <v>182</v>
      </c>
      <c r="D131" t="s">
        <v>921</v>
      </c>
      <c r="E131" t="s">
        <v>113</v>
      </c>
      <c r="F131" t="s">
        <v>114</v>
      </c>
      <c r="G131" t="s">
        <v>115</v>
      </c>
      <c r="H131" t="s">
        <v>113</v>
      </c>
      <c r="I131" t="s">
        <v>116</v>
      </c>
      <c r="J131" t="s">
        <v>117</v>
      </c>
      <c r="K131" t="s">
        <v>118</v>
      </c>
      <c r="L131" t="s">
        <v>118</v>
      </c>
      <c r="M131" t="s">
        <v>113</v>
      </c>
      <c r="N131" t="s">
        <v>118</v>
      </c>
      <c r="O131" t="s">
        <v>118</v>
      </c>
      <c r="P131" t="s">
        <v>117</v>
      </c>
      <c r="Q131" t="s">
        <v>117</v>
      </c>
      <c r="R131" t="s">
        <v>809</v>
      </c>
      <c r="S131" t="s">
        <v>169</v>
      </c>
      <c r="T131" t="s">
        <v>121</v>
      </c>
      <c r="U131" t="s">
        <v>122</v>
      </c>
      <c r="V131" t="s">
        <v>922</v>
      </c>
      <c r="W131" t="s">
        <v>135</v>
      </c>
      <c r="X131" t="s">
        <v>923</v>
      </c>
      <c r="Y131" t="s">
        <v>924</v>
      </c>
      <c r="Z131">
        <v>92600</v>
      </c>
      <c r="AA131">
        <v>92600</v>
      </c>
      <c r="AB131">
        <v>0</v>
      </c>
      <c r="AC131">
        <v>37040</v>
      </c>
      <c r="AD131">
        <v>37040</v>
      </c>
      <c r="AE131">
        <v>0</v>
      </c>
      <c r="AF131">
        <v>10186</v>
      </c>
      <c r="AG131">
        <v>10186</v>
      </c>
      <c r="AH131">
        <v>0</v>
      </c>
      <c r="AI131">
        <v>0</v>
      </c>
      <c r="AJ131">
        <v>0</v>
      </c>
      <c r="AK131">
        <v>0</v>
      </c>
      <c r="AL131">
        <v>10000</v>
      </c>
      <c r="AM131">
        <v>10000</v>
      </c>
      <c r="AN131">
        <v>0</v>
      </c>
      <c r="AO131">
        <v>0</v>
      </c>
      <c r="AP131">
        <v>0</v>
      </c>
      <c r="AQ131">
        <v>0</v>
      </c>
      <c r="AR131">
        <v>79874</v>
      </c>
      <c r="AS131">
        <v>79874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229700</v>
      </c>
      <c r="BI131">
        <v>229700</v>
      </c>
      <c r="BJ131">
        <v>0</v>
      </c>
      <c r="BK131">
        <v>0</v>
      </c>
      <c r="BL131">
        <v>31223</v>
      </c>
      <c r="BM131">
        <v>200</v>
      </c>
      <c r="BN131">
        <v>0</v>
      </c>
      <c r="BO131">
        <v>0</v>
      </c>
      <c r="BP131">
        <v>1800</v>
      </c>
      <c r="BQ131">
        <v>0</v>
      </c>
      <c r="BR131">
        <v>1800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33223</v>
      </c>
      <c r="CZ131">
        <v>196477</v>
      </c>
      <c r="DA131" t="s">
        <v>118</v>
      </c>
      <c r="DB131" t="s">
        <v>118</v>
      </c>
      <c r="DC131">
        <v>196477</v>
      </c>
      <c r="DE131">
        <v>196477</v>
      </c>
      <c r="DF131">
        <f t="shared" ref="DF131:DF181" si="2">DC131-DE131</f>
        <v>0</v>
      </c>
    </row>
    <row r="132" spans="1:111">
      <c r="A132" t="s">
        <v>925</v>
      </c>
      <c r="B132" t="s">
        <v>926</v>
      </c>
      <c r="C132" t="s">
        <v>182</v>
      </c>
      <c r="D132" t="s">
        <v>927</v>
      </c>
      <c r="E132" s="4">
        <v>45971</v>
      </c>
      <c r="F132" t="s">
        <v>114</v>
      </c>
      <c r="G132" t="s">
        <v>115</v>
      </c>
      <c r="H132" t="s">
        <v>113</v>
      </c>
      <c r="I132" s="3" t="s">
        <v>309</v>
      </c>
      <c r="J132" t="s">
        <v>117</v>
      </c>
      <c r="K132" t="s">
        <v>118</v>
      </c>
      <c r="L132" t="s">
        <v>118</v>
      </c>
      <c r="M132" t="s">
        <v>113</v>
      </c>
      <c r="N132" t="s">
        <v>118</v>
      </c>
      <c r="O132" t="s">
        <v>118</v>
      </c>
      <c r="P132" t="s">
        <v>816</v>
      </c>
      <c r="Q132" t="s">
        <v>816</v>
      </c>
      <c r="R132" t="s">
        <v>652</v>
      </c>
      <c r="S132" t="s">
        <v>169</v>
      </c>
      <c r="T132" t="s">
        <v>121</v>
      </c>
      <c r="U132" t="s">
        <v>122</v>
      </c>
      <c r="V132" t="s">
        <v>928</v>
      </c>
      <c r="W132" t="s">
        <v>135</v>
      </c>
      <c r="X132" t="s">
        <v>929</v>
      </c>
      <c r="Y132" t="s">
        <v>930</v>
      </c>
      <c r="Z132">
        <v>77000</v>
      </c>
      <c r="AA132">
        <v>39742</v>
      </c>
      <c r="AB132">
        <v>0</v>
      </c>
      <c r="AC132">
        <v>30800</v>
      </c>
      <c r="AD132">
        <v>15897</v>
      </c>
      <c r="AE132">
        <v>0</v>
      </c>
      <c r="AF132">
        <v>8470</v>
      </c>
      <c r="AG132">
        <v>4372</v>
      </c>
      <c r="AH132">
        <v>0</v>
      </c>
      <c r="AI132">
        <v>0</v>
      </c>
      <c r="AJ132">
        <v>0</v>
      </c>
      <c r="AK132">
        <v>0</v>
      </c>
      <c r="AL132">
        <v>10000</v>
      </c>
      <c r="AM132">
        <v>5161</v>
      </c>
      <c r="AN132">
        <v>0</v>
      </c>
      <c r="AO132">
        <v>0</v>
      </c>
      <c r="AP132">
        <v>0</v>
      </c>
      <c r="AQ132">
        <v>0</v>
      </c>
      <c r="AR132">
        <v>56990</v>
      </c>
      <c r="AS132">
        <v>29414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94586</v>
      </c>
      <c r="BI132">
        <v>94586</v>
      </c>
      <c r="BJ132">
        <v>0</v>
      </c>
      <c r="BK132">
        <v>0</v>
      </c>
      <c r="BL132">
        <v>0</v>
      </c>
      <c r="BM132">
        <v>200</v>
      </c>
      <c r="BN132">
        <v>0</v>
      </c>
      <c r="BO132">
        <v>0</v>
      </c>
      <c r="BP132">
        <v>4769</v>
      </c>
      <c r="BQ132">
        <v>0</v>
      </c>
      <c r="BR132">
        <v>4769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4969</v>
      </c>
      <c r="CZ132">
        <v>89617</v>
      </c>
      <c r="DA132" t="s">
        <v>118</v>
      </c>
      <c r="DB132" t="s">
        <v>118</v>
      </c>
      <c r="DC132">
        <v>89617</v>
      </c>
      <c r="DE132">
        <v>171151</v>
      </c>
      <c r="DF132">
        <f t="shared" si="2"/>
        <v>-81534</v>
      </c>
      <c r="DG132" t="s">
        <v>931</v>
      </c>
    </row>
    <row r="133" spans="1:111">
      <c r="A133" t="s">
        <v>932</v>
      </c>
      <c r="B133" t="s">
        <v>933</v>
      </c>
      <c r="C133" t="s">
        <v>158</v>
      </c>
      <c r="D133" t="s">
        <v>934</v>
      </c>
      <c r="E133" t="s">
        <v>113</v>
      </c>
      <c r="F133" t="s">
        <v>114</v>
      </c>
      <c r="G133" t="s">
        <v>115</v>
      </c>
      <c r="H133" t="s">
        <v>113</v>
      </c>
      <c r="I133" t="s">
        <v>116</v>
      </c>
      <c r="J133" t="s">
        <v>117</v>
      </c>
      <c r="K133" t="s">
        <v>118</v>
      </c>
      <c r="L133" t="s">
        <v>118</v>
      </c>
      <c r="M133" t="s">
        <v>113</v>
      </c>
      <c r="N133" t="s">
        <v>118</v>
      </c>
      <c r="O133" t="s">
        <v>118</v>
      </c>
      <c r="P133" t="s">
        <v>117</v>
      </c>
      <c r="Q133" t="s">
        <v>117</v>
      </c>
      <c r="R133" t="s">
        <v>935</v>
      </c>
      <c r="S133" t="s">
        <v>169</v>
      </c>
      <c r="T133" t="s">
        <v>121</v>
      </c>
      <c r="U133" t="s">
        <v>122</v>
      </c>
      <c r="V133" t="s">
        <v>936</v>
      </c>
      <c r="W133" t="s">
        <v>135</v>
      </c>
      <c r="X133" t="s">
        <v>937</v>
      </c>
      <c r="Y133" t="s">
        <v>938</v>
      </c>
      <c r="Z133">
        <v>133110</v>
      </c>
      <c r="AA133">
        <v>133110</v>
      </c>
      <c r="AB133">
        <v>0</v>
      </c>
      <c r="AC133">
        <v>53244</v>
      </c>
      <c r="AD133">
        <v>53244</v>
      </c>
      <c r="AE133">
        <v>0</v>
      </c>
      <c r="AF133">
        <v>14642</v>
      </c>
      <c r="AG133">
        <v>14642</v>
      </c>
      <c r="AH133">
        <v>0</v>
      </c>
      <c r="AI133">
        <v>0</v>
      </c>
      <c r="AJ133">
        <v>0</v>
      </c>
      <c r="AK133">
        <v>0</v>
      </c>
      <c r="AL133">
        <v>10000</v>
      </c>
      <c r="AM133">
        <v>10000</v>
      </c>
      <c r="AN133">
        <v>0</v>
      </c>
      <c r="AO133">
        <v>0</v>
      </c>
      <c r="AP133">
        <v>0</v>
      </c>
      <c r="AQ133">
        <v>0</v>
      </c>
      <c r="AR133">
        <v>119980</v>
      </c>
      <c r="AS133">
        <v>119980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330976</v>
      </c>
      <c r="BI133">
        <v>330976</v>
      </c>
      <c r="BJ133">
        <v>0</v>
      </c>
      <c r="BK133">
        <v>0</v>
      </c>
      <c r="BL133">
        <v>63423</v>
      </c>
      <c r="BM133">
        <v>200</v>
      </c>
      <c r="BN133">
        <v>0</v>
      </c>
      <c r="BO133">
        <v>0</v>
      </c>
      <c r="BP133">
        <v>1800</v>
      </c>
      <c r="BQ133">
        <v>0</v>
      </c>
      <c r="BR133">
        <v>1800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65423</v>
      </c>
      <c r="CZ133">
        <v>265553</v>
      </c>
      <c r="DA133" t="s">
        <v>118</v>
      </c>
      <c r="DB133" t="s">
        <v>118</v>
      </c>
      <c r="DC133">
        <v>265553</v>
      </c>
      <c r="DE133">
        <v>265553</v>
      </c>
      <c r="DF133">
        <f t="shared" si="2"/>
        <v>0</v>
      </c>
    </row>
    <row r="134" spans="1:111">
      <c r="A134" t="s">
        <v>939</v>
      </c>
      <c r="B134" t="s">
        <v>940</v>
      </c>
      <c r="C134" t="s">
        <v>182</v>
      </c>
      <c r="D134" t="s">
        <v>941</v>
      </c>
      <c r="E134" t="s">
        <v>113</v>
      </c>
      <c r="F134" t="s">
        <v>114</v>
      </c>
      <c r="G134" t="s">
        <v>115</v>
      </c>
      <c r="H134" t="s">
        <v>113</v>
      </c>
      <c r="I134" t="s">
        <v>116</v>
      </c>
      <c r="J134" t="s">
        <v>117</v>
      </c>
      <c r="K134" t="s">
        <v>118</v>
      </c>
      <c r="L134" t="s">
        <v>118</v>
      </c>
      <c r="M134" t="s">
        <v>113</v>
      </c>
      <c r="N134" t="s">
        <v>118</v>
      </c>
      <c r="O134" t="s">
        <v>118</v>
      </c>
      <c r="P134" t="s">
        <v>117</v>
      </c>
      <c r="Q134" t="s">
        <v>117</v>
      </c>
      <c r="R134" t="s">
        <v>652</v>
      </c>
      <c r="S134" t="s">
        <v>169</v>
      </c>
      <c r="T134" t="s">
        <v>121</v>
      </c>
      <c r="U134" t="s">
        <v>122</v>
      </c>
      <c r="V134" t="s">
        <v>942</v>
      </c>
      <c r="W134" t="s">
        <v>135</v>
      </c>
      <c r="X134" t="s">
        <v>875</v>
      </c>
      <c r="Y134" t="s">
        <v>943</v>
      </c>
      <c r="Z134">
        <v>96667</v>
      </c>
      <c r="AA134">
        <v>96667</v>
      </c>
      <c r="AB134">
        <v>0</v>
      </c>
      <c r="AC134">
        <v>38667</v>
      </c>
      <c r="AD134">
        <v>38667</v>
      </c>
      <c r="AE134">
        <v>0</v>
      </c>
      <c r="AF134">
        <v>10633</v>
      </c>
      <c r="AG134">
        <v>10633</v>
      </c>
      <c r="AH134">
        <v>0</v>
      </c>
      <c r="AI134">
        <v>0</v>
      </c>
      <c r="AJ134">
        <v>0</v>
      </c>
      <c r="AK134">
        <v>0</v>
      </c>
      <c r="AL134">
        <v>10000</v>
      </c>
      <c r="AM134">
        <v>10000</v>
      </c>
      <c r="AN134">
        <v>0</v>
      </c>
      <c r="AO134">
        <v>0</v>
      </c>
      <c r="AP134">
        <v>0</v>
      </c>
      <c r="AQ134">
        <v>0</v>
      </c>
      <c r="AR134">
        <v>74100</v>
      </c>
      <c r="AS134">
        <v>74100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230067</v>
      </c>
      <c r="BI134">
        <v>230067</v>
      </c>
      <c r="BJ134">
        <v>0</v>
      </c>
      <c r="BK134">
        <v>0</v>
      </c>
      <c r="BL134">
        <v>31318</v>
      </c>
      <c r="BM134">
        <v>200</v>
      </c>
      <c r="BN134">
        <v>0</v>
      </c>
      <c r="BO134">
        <v>0</v>
      </c>
      <c r="BP134">
        <v>11600</v>
      </c>
      <c r="BQ134">
        <v>0</v>
      </c>
      <c r="BR134">
        <v>11600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43118</v>
      </c>
      <c r="CZ134">
        <v>186949</v>
      </c>
      <c r="DA134" t="s">
        <v>118</v>
      </c>
      <c r="DB134" t="s">
        <v>118</v>
      </c>
      <c r="DC134">
        <v>186949</v>
      </c>
      <c r="DE134">
        <v>186949</v>
      </c>
      <c r="DF134">
        <f t="shared" si="2"/>
        <v>0</v>
      </c>
    </row>
    <row r="135" spans="1:111">
      <c r="A135" t="s">
        <v>944</v>
      </c>
      <c r="B135" t="s">
        <v>945</v>
      </c>
      <c r="C135" t="s">
        <v>182</v>
      </c>
      <c r="D135" t="s">
        <v>946</v>
      </c>
      <c r="E135" t="s">
        <v>113</v>
      </c>
      <c r="F135" t="s">
        <v>114</v>
      </c>
      <c r="G135" t="s">
        <v>115</v>
      </c>
      <c r="H135" t="s">
        <v>113</v>
      </c>
      <c r="I135" t="s">
        <v>116</v>
      </c>
      <c r="J135" t="s">
        <v>117</v>
      </c>
      <c r="K135" t="s">
        <v>118</v>
      </c>
      <c r="L135" t="s">
        <v>118</v>
      </c>
      <c r="M135" t="s">
        <v>113</v>
      </c>
      <c r="N135" t="s">
        <v>118</v>
      </c>
      <c r="O135" t="s">
        <v>118</v>
      </c>
      <c r="P135" t="s">
        <v>117</v>
      </c>
      <c r="Q135" t="s">
        <v>117</v>
      </c>
      <c r="R135" t="s">
        <v>652</v>
      </c>
      <c r="S135" t="s">
        <v>169</v>
      </c>
      <c r="T135" t="s">
        <v>121</v>
      </c>
      <c r="U135" t="s">
        <v>122</v>
      </c>
      <c r="V135" t="s">
        <v>947</v>
      </c>
      <c r="W135" t="s">
        <v>135</v>
      </c>
      <c r="X135" t="s">
        <v>911</v>
      </c>
      <c r="Y135" t="s">
        <v>948</v>
      </c>
      <c r="Z135">
        <v>83333</v>
      </c>
      <c r="AA135">
        <v>83333</v>
      </c>
      <c r="AB135">
        <v>0</v>
      </c>
      <c r="AC135">
        <v>33333</v>
      </c>
      <c r="AD135">
        <v>33333</v>
      </c>
      <c r="AE135">
        <v>0</v>
      </c>
      <c r="AF135">
        <v>9167</v>
      </c>
      <c r="AG135">
        <v>9167</v>
      </c>
      <c r="AH135">
        <v>0</v>
      </c>
      <c r="AI135">
        <v>0</v>
      </c>
      <c r="AJ135">
        <v>0</v>
      </c>
      <c r="AK135">
        <v>0</v>
      </c>
      <c r="AL135">
        <v>10000</v>
      </c>
      <c r="AM135">
        <v>10000</v>
      </c>
      <c r="AN135">
        <v>0</v>
      </c>
      <c r="AO135">
        <v>0</v>
      </c>
      <c r="AP135">
        <v>0</v>
      </c>
      <c r="AQ135">
        <v>0</v>
      </c>
      <c r="AR135">
        <v>70700</v>
      </c>
      <c r="AS135">
        <v>70700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206533</v>
      </c>
      <c r="BI135">
        <v>206533</v>
      </c>
      <c r="BJ135">
        <v>0</v>
      </c>
      <c r="BK135">
        <v>0</v>
      </c>
      <c r="BL135">
        <v>23038</v>
      </c>
      <c r="BM135">
        <v>200</v>
      </c>
      <c r="BN135">
        <v>0</v>
      </c>
      <c r="BO135">
        <v>0</v>
      </c>
      <c r="BP135">
        <v>1800</v>
      </c>
      <c r="BQ135">
        <v>0</v>
      </c>
      <c r="BR135">
        <v>1800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25038</v>
      </c>
      <c r="CZ135">
        <v>181495</v>
      </c>
      <c r="DA135" t="s">
        <v>118</v>
      </c>
      <c r="DB135" t="s">
        <v>118</v>
      </c>
      <c r="DC135">
        <v>181495</v>
      </c>
      <c r="DE135">
        <v>181496</v>
      </c>
      <c r="DF135">
        <f t="shared" si="2"/>
        <v>-1</v>
      </c>
    </row>
    <row r="136" spans="1:111">
      <c r="A136" t="s">
        <v>949</v>
      </c>
      <c r="B136" t="s">
        <v>950</v>
      </c>
      <c r="C136" t="s">
        <v>182</v>
      </c>
      <c r="D136" t="s">
        <v>946</v>
      </c>
      <c r="E136" t="s">
        <v>113</v>
      </c>
      <c r="F136" t="s">
        <v>114</v>
      </c>
      <c r="G136" t="s">
        <v>115</v>
      </c>
      <c r="H136" t="s">
        <v>113</v>
      </c>
      <c r="I136" t="s">
        <v>116</v>
      </c>
      <c r="J136" t="s">
        <v>117</v>
      </c>
      <c r="K136" t="s">
        <v>118</v>
      </c>
      <c r="L136" t="s">
        <v>118</v>
      </c>
      <c r="M136" t="s">
        <v>113</v>
      </c>
      <c r="N136" t="s">
        <v>118</v>
      </c>
      <c r="O136" t="s">
        <v>118</v>
      </c>
      <c r="P136" t="s">
        <v>117</v>
      </c>
      <c r="Q136" t="s">
        <v>117</v>
      </c>
      <c r="R136" t="s">
        <v>652</v>
      </c>
      <c r="S136" t="s">
        <v>169</v>
      </c>
      <c r="T136" t="s">
        <v>121</v>
      </c>
      <c r="U136" t="s">
        <v>122</v>
      </c>
      <c r="V136" t="s">
        <v>951</v>
      </c>
      <c r="W136" t="s">
        <v>135</v>
      </c>
      <c r="X136" t="s">
        <v>952</v>
      </c>
      <c r="Y136" t="s">
        <v>953</v>
      </c>
      <c r="Z136">
        <v>60000</v>
      </c>
      <c r="AA136">
        <v>60000</v>
      </c>
      <c r="AB136">
        <v>0</v>
      </c>
      <c r="AC136">
        <v>24000</v>
      </c>
      <c r="AD136">
        <v>24000</v>
      </c>
      <c r="AE136">
        <v>0</v>
      </c>
      <c r="AF136">
        <v>6600</v>
      </c>
      <c r="AG136">
        <v>6600</v>
      </c>
      <c r="AH136">
        <v>0</v>
      </c>
      <c r="AI136">
        <v>0</v>
      </c>
      <c r="AJ136">
        <v>0</v>
      </c>
      <c r="AK136">
        <v>0</v>
      </c>
      <c r="AL136">
        <v>10000</v>
      </c>
      <c r="AM136">
        <v>10000</v>
      </c>
      <c r="AN136">
        <v>0</v>
      </c>
      <c r="AO136">
        <v>0</v>
      </c>
      <c r="AP136">
        <v>0</v>
      </c>
      <c r="AQ136">
        <v>0</v>
      </c>
      <c r="AR136">
        <v>47600</v>
      </c>
      <c r="AS136">
        <v>47600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148200</v>
      </c>
      <c r="BI136">
        <v>148200</v>
      </c>
      <c r="BJ136">
        <v>0</v>
      </c>
      <c r="BK136">
        <v>0</v>
      </c>
      <c r="BL136">
        <v>10420</v>
      </c>
      <c r="BM136">
        <v>200</v>
      </c>
      <c r="BN136">
        <v>0</v>
      </c>
      <c r="BO136">
        <v>0</v>
      </c>
      <c r="BP136">
        <v>1800</v>
      </c>
      <c r="BQ136">
        <v>0</v>
      </c>
      <c r="BR136">
        <v>1800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12420</v>
      </c>
      <c r="CZ136">
        <v>135780</v>
      </c>
      <c r="DA136" t="s">
        <v>118</v>
      </c>
      <c r="DB136" t="s">
        <v>118</v>
      </c>
      <c r="DC136">
        <v>135780</v>
      </c>
      <c r="DE136">
        <v>135779</v>
      </c>
      <c r="DF136">
        <f t="shared" si="2"/>
        <v>1</v>
      </c>
    </row>
    <row r="137" spans="1:111">
      <c r="A137" t="s">
        <v>954</v>
      </c>
      <c r="B137" t="s">
        <v>955</v>
      </c>
      <c r="C137" t="s">
        <v>111</v>
      </c>
      <c r="D137" t="s">
        <v>956</v>
      </c>
      <c r="E137" t="s">
        <v>113</v>
      </c>
      <c r="F137" t="s">
        <v>114</v>
      </c>
      <c r="G137" t="s">
        <v>115</v>
      </c>
      <c r="H137" t="s">
        <v>113</v>
      </c>
      <c r="I137" t="s">
        <v>116</v>
      </c>
      <c r="J137" t="s">
        <v>117</v>
      </c>
      <c r="K137" t="s">
        <v>118</v>
      </c>
      <c r="L137" t="s">
        <v>118</v>
      </c>
      <c r="M137" t="s">
        <v>113</v>
      </c>
      <c r="N137" t="s">
        <v>118</v>
      </c>
      <c r="O137" t="s">
        <v>118</v>
      </c>
      <c r="P137" t="s">
        <v>117</v>
      </c>
      <c r="Q137" t="s">
        <v>117</v>
      </c>
      <c r="R137" t="s">
        <v>957</v>
      </c>
      <c r="S137" t="s">
        <v>958</v>
      </c>
      <c r="T137" t="s">
        <v>121</v>
      </c>
      <c r="U137" t="s">
        <v>122</v>
      </c>
      <c r="V137" t="s">
        <v>959</v>
      </c>
      <c r="W137" t="s">
        <v>135</v>
      </c>
      <c r="X137" t="s">
        <v>960</v>
      </c>
      <c r="Y137" t="s">
        <v>961</v>
      </c>
      <c r="Z137">
        <v>90217</v>
      </c>
      <c r="AA137">
        <v>90217</v>
      </c>
      <c r="AB137">
        <v>0</v>
      </c>
      <c r="AC137">
        <v>36087</v>
      </c>
      <c r="AD137">
        <v>36087</v>
      </c>
      <c r="AE137">
        <v>0</v>
      </c>
      <c r="AF137">
        <v>9924</v>
      </c>
      <c r="AG137">
        <v>9924</v>
      </c>
      <c r="AH137">
        <v>0</v>
      </c>
      <c r="AI137">
        <v>0</v>
      </c>
      <c r="AJ137">
        <v>0</v>
      </c>
      <c r="AK137">
        <v>0</v>
      </c>
      <c r="AL137">
        <v>10000</v>
      </c>
      <c r="AM137">
        <v>10000</v>
      </c>
      <c r="AN137">
        <v>0</v>
      </c>
      <c r="AO137">
        <v>0</v>
      </c>
      <c r="AP137">
        <v>0</v>
      </c>
      <c r="AQ137">
        <v>0</v>
      </c>
      <c r="AR137">
        <v>77514</v>
      </c>
      <c r="AS137">
        <v>77514</v>
      </c>
      <c r="AT137">
        <v>0</v>
      </c>
      <c r="AU137">
        <v>0</v>
      </c>
      <c r="AV137">
        <v>0</v>
      </c>
      <c r="AW137">
        <v>41700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41700</v>
      </c>
      <c r="BH137">
        <v>265442</v>
      </c>
      <c r="BI137">
        <v>265442</v>
      </c>
      <c r="BJ137">
        <v>0</v>
      </c>
      <c r="BK137">
        <v>0</v>
      </c>
      <c r="BL137">
        <v>29618</v>
      </c>
      <c r="BM137">
        <v>200</v>
      </c>
      <c r="BN137">
        <v>0</v>
      </c>
      <c r="BO137">
        <v>0</v>
      </c>
      <c r="BP137">
        <v>1800</v>
      </c>
      <c r="BQ137">
        <v>0</v>
      </c>
      <c r="BR137">
        <v>1800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31618</v>
      </c>
      <c r="CZ137">
        <v>233824</v>
      </c>
      <c r="DA137" t="s">
        <v>118</v>
      </c>
      <c r="DB137" t="s">
        <v>118</v>
      </c>
      <c r="DC137">
        <v>233824</v>
      </c>
      <c r="DE137">
        <v>195293</v>
      </c>
      <c r="DF137">
        <f t="shared" si="2"/>
        <v>38531</v>
      </c>
      <c r="DG137" t="s">
        <v>962</v>
      </c>
    </row>
    <row r="138" spans="1:111">
      <c r="A138" t="s">
        <v>963</v>
      </c>
      <c r="B138" t="s">
        <v>964</v>
      </c>
      <c r="C138" t="s">
        <v>130</v>
      </c>
      <c r="D138" t="s">
        <v>965</v>
      </c>
      <c r="E138" t="s">
        <v>113</v>
      </c>
      <c r="F138" t="s">
        <v>114</v>
      </c>
      <c r="G138" t="s">
        <v>115</v>
      </c>
      <c r="H138" t="s">
        <v>113</v>
      </c>
      <c r="I138" t="s">
        <v>116</v>
      </c>
      <c r="J138" t="s">
        <v>117</v>
      </c>
      <c r="K138" t="s">
        <v>118</v>
      </c>
      <c r="L138" t="s">
        <v>118</v>
      </c>
      <c r="M138" t="s">
        <v>113</v>
      </c>
      <c r="N138" t="s">
        <v>118</v>
      </c>
      <c r="O138" t="s">
        <v>118</v>
      </c>
      <c r="P138" t="s">
        <v>117</v>
      </c>
      <c r="Q138" t="s">
        <v>117</v>
      </c>
      <c r="R138" t="s">
        <v>966</v>
      </c>
      <c r="S138" t="s">
        <v>169</v>
      </c>
      <c r="T138" t="s">
        <v>121</v>
      </c>
      <c r="U138" t="s">
        <v>122</v>
      </c>
      <c r="V138" t="s">
        <v>967</v>
      </c>
      <c r="W138" t="s">
        <v>135</v>
      </c>
      <c r="X138" t="s">
        <v>968</v>
      </c>
      <c r="Y138" t="s">
        <v>969</v>
      </c>
      <c r="Z138">
        <v>54190</v>
      </c>
      <c r="AA138">
        <v>54190</v>
      </c>
      <c r="AB138">
        <v>0</v>
      </c>
      <c r="AC138">
        <v>21676</v>
      </c>
      <c r="AD138">
        <v>21676</v>
      </c>
      <c r="AE138">
        <v>0</v>
      </c>
      <c r="AF138">
        <v>5961</v>
      </c>
      <c r="AG138">
        <v>5961</v>
      </c>
      <c r="AH138">
        <v>0</v>
      </c>
      <c r="AI138">
        <v>0</v>
      </c>
      <c r="AJ138">
        <v>0</v>
      </c>
      <c r="AK138">
        <v>0</v>
      </c>
      <c r="AL138">
        <v>10000</v>
      </c>
      <c r="AM138">
        <v>10000</v>
      </c>
      <c r="AN138">
        <v>0</v>
      </c>
      <c r="AO138">
        <v>2200</v>
      </c>
      <c r="AP138">
        <v>2200</v>
      </c>
      <c r="AQ138">
        <v>0</v>
      </c>
      <c r="AR138">
        <v>34945</v>
      </c>
      <c r="AS138">
        <v>34945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128972</v>
      </c>
      <c r="BI138">
        <v>128972</v>
      </c>
      <c r="BJ138">
        <v>2200</v>
      </c>
      <c r="BK138">
        <v>0</v>
      </c>
      <c r="BL138">
        <v>0</v>
      </c>
      <c r="BM138">
        <v>200</v>
      </c>
      <c r="BN138">
        <v>0</v>
      </c>
      <c r="BO138">
        <v>0</v>
      </c>
      <c r="BP138">
        <v>6503</v>
      </c>
      <c r="BQ138">
        <v>0</v>
      </c>
      <c r="BR138">
        <v>6503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8903</v>
      </c>
      <c r="CZ138">
        <v>120069</v>
      </c>
      <c r="DA138" t="s">
        <v>118</v>
      </c>
      <c r="DB138" t="s">
        <v>118</v>
      </c>
      <c r="DC138">
        <v>120069</v>
      </c>
      <c r="DE138">
        <v>120069</v>
      </c>
      <c r="DF138">
        <f t="shared" si="2"/>
        <v>0</v>
      </c>
    </row>
    <row r="139" spans="1:111">
      <c r="A139" t="s">
        <v>970</v>
      </c>
      <c r="B139" t="s">
        <v>971</v>
      </c>
      <c r="C139" t="s">
        <v>412</v>
      </c>
      <c r="D139" t="s">
        <v>972</v>
      </c>
      <c r="E139" t="s">
        <v>113</v>
      </c>
      <c r="F139" t="s">
        <v>114</v>
      </c>
      <c r="G139" t="s">
        <v>115</v>
      </c>
      <c r="H139" t="s">
        <v>113</v>
      </c>
      <c r="I139" t="s">
        <v>116</v>
      </c>
      <c r="J139" t="s">
        <v>117</v>
      </c>
      <c r="K139" t="s">
        <v>118</v>
      </c>
      <c r="L139" t="s">
        <v>118</v>
      </c>
      <c r="M139" t="s">
        <v>113</v>
      </c>
      <c r="N139" t="s">
        <v>118</v>
      </c>
      <c r="O139" t="s">
        <v>118</v>
      </c>
      <c r="P139" t="s">
        <v>117</v>
      </c>
      <c r="Q139" t="s">
        <v>117</v>
      </c>
      <c r="R139" t="s">
        <v>973</v>
      </c>
      <c r="S139" t="s">
        <v>415</v>
      </c>
      <c r="T139" t="s">
        <v>121</v>
      </c>
      <c r="U139" t="s">
        <v>122</v>
      </c>
      <c r="V139" t="s">
        <v>974</v>
      </c>
      <c r="W139" t="s">
        <v>124</v>
      </c>
      <c r="X139" t="s">
        <v>975</v>
      </c>
      <c r="Y139" t="s">
        <v>976</v>
      </c>
      <c r="Z139">
        <v>21430</v>
      </c>
      <c r="AA139">
        <v>21430</v>
      </c>
      <c r="AB139">
        <v>0</v>
      </c>
      <c r="AC139">
        <v>8572</v>
      </c>
      <c r="AD139">
        <v>8572</v>
      </c>
      <c r="AE139">
        <v>0</v>
      </c>
      <c r="AF139">
        <v>2357</v>
      </c>
      <c r="AG139">
        <v>2357</v>
      </c>
      <c r="AH139">
        <v>0</v>
      </c>
      <c r="AI139">
        <v>0</v>
      </c>
      <c r="AJ139">
        <v>0</v>
      </c>
      <c r="AK139">
        <v>0</v>
      </c>
      <c r="AL139">
        <v>5358</v>
      </c>
      <c r="AM139">
        <v>5358</v>
      </c>
      <c r="AN139">
        <v>0</v>
      </c>
      <c r="AO139">
        <v>0</v>
      </c>
      <c r="AP139">
        <v>0</v>
      </c>
      <c r="AQ139">
        <v>0</v>
      </c>
      <c r="AR139">
        <v>14058</v>
      </c>
      <c r="AS139">
        <v>14058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51775</v>
      </c>
      <c r="BI139">
        <v>51775</v>
      </c>
      <c r="BJ139">
        <v>0</v>
      </c>
      <c r="BK139">
        <v>0</v>
      </c>
      <c r="BL139">
        <v>0</v>
      </c>
      <c r="BM139">
        <v>200</v>
      </c>
      <c r="BN139">
        <v>0</v>
      </c>
      <c r="BO139">
        <v>0</v>
      </c>
      <c r="BP139">
        <v>1800</v>
      </c>
      <c r="BQ139">
        <v>0</v>
      </c>
      <c r="BR139">
        <v>1800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2000</v>
      </c>
      <c r="CZ139">
        <v>49775</v>
      </c>
      <c r="DA139" t="s">
        <v>118</v>
      </c>
      <c r="DB139" t="s">
        <v>118</v>
      </c>
      <c r="DC139">
        <v>49775</v>
      </c>
      <c r="DE139">
        <v>49775</v>
      </c>
      <c r="DF139">
        <f t="shared" si="2"/>
        <v>0</v>
      </c>
    </row>
    <row r="140" spans="1:111">
      <c r="A140" t="s">
        <v>977</v>
      </c>
      <c r="B140" t="s">
        <v>978</v>
      </c>
      <c r="C140" t="s">
        <v>182</v>
      </c>
      <c r="D140" t="s">
        <v>972</v>
      </c>
      <c r="E140" t="s">
        <v>113</v>
      </c>
      <c r="F140" t="s">
        <v>114</v>
      </c>
      <c r="G140" t="s">
        <v>115</v>
      </c>
      <c r="H140" t="s">
        <v>113</v>
      </c>
      <c r="I140" t="s">
        <v>116</v>
      </c>
      <c r="J140" t="s">
        <v>117</v>
      </c>
      <c r="K140" t="s">
        <v>118</v>
      </c>
      <c r="L140" t="s">
        <v>118</v>
      </c>
      <c r="M140" t="s">
        <v>113</v>
      </c>
      <c r="N140" t="s">
        <v>118</v>
      </c>
      <c r="O140" t="s">
        <v>118</v>
      </c>
      <c r="P140" t="s">
        <v>117</v>
      </c>
      <c r="Q140" t="s">
        <v>117</v>
      </c>
      <c r="R140" t="s">
        <v>236</v>
      </c>
      <c r="S140" t="s">
        <v>169</v>
      </c>
      <c r="T140" t="s">
        <v>121</v>
      </c>
      <c r="U140" t="s">
        <v>122</v>
      </c>
      <c r="V140" t="s">
        <v>979</v>
      </c>
      <c r="W140" t="s">
        <v>135</v>
      </c>
      <c r="X140" t="s">
        <v>980</v>
      </c>
      <c r="Y140" t="s">
        <v>981</v>
      </c>
      <c r="Z140">
        <v>34000</v>
      </c>
      <c r="AA140">
        <v>34000</v>
      </c>
      <c r="AB140">
        <v>0</v>
      </c>
      <c r="AC140">
        <v>13600</v>
      </c>
      <c r="AD140">
        <v>13600</v>
      </c>
      <c r="AE140">
        <v>0</v>
      </c>
      <c r="AF140">
        <v>3740</v>
      </c>
      <c r="AG140">
        <v>3740</v>
      </c>
      <c r="AH140">
        <v>0</v>
      </c>
      <c r="AI140">
        <v>0</v>
      </c>
      <c r="AJ140">
        <v>0</v>
      </c>
      <c r="AK140">
        <v>0</v>
      </c>
      <c r="AL140">
        <v>8500</v>
      </c>
      <c r="AM140">
        <v>8500</v>
      </c>
      <c r="AN140">
        <v>0</v>
      </c>
      <c r="AO140">
        <v>0</v>
      </c>
      <c r="AP140">
        <v>0</v>
      </c>
      <c r="AQ140">
        <v>0</v>
      </c>
      <c r="AR140">
        <v>23360</v>
      </c>
      <c r="AS140">
        <v>23360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22000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20000</v>
      </c>
      <c r="BG140">
        <v>42000</v>
      </c>
      <c r="BH140">
        <v>125200</v>
      </c>
      <c r="BI140">
        <v>105200</v>
      </c>
      <c r="BJ140">
        <v>0</v>
      </c>
      <c r="BK140">
        <v>0</v>
      </c>
      <c r="BL140">
        <v>0</v>
      </c>
      <c r="BM140">
        <v>200</v>
      </c>
      <c r="BN140">
        <v>0</v>
      </c>
      <c r="BO140">
        <v>0</v>
      </c>
      <c r="BP140">
        <v>1800</v>
      </c>
      <c r="BQ140">
        <v>0</v>
      </c>
      <c r="BR140">
        <v>1800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2000</v>
      </c>
      <c r="CZ140">
        <v>123200</v>
      </c>
      <c r="DA140" t="s">
        <v>118</v>
      </c>
      <c r="DB140" t="s">
        <v>118</v>
      </c>
      <c r="DC140">
        <v>123200</v>
      </c>
      <c r="DE140">
        <v>117200</v>
      </c>
      <c r="DF140">
        <f t="shared" si="2"/>
        <v>6000</v>
      </c>
      <c r="DG140" t="s">
        <v>982</v>
      </c>
    </row>
    <row r="141" spans="1:111">
      <c r="A141" t="s">
        <v>983</v>
      </c>
      <c r="B141" t="s">
        <v>984</v>
      </c>
      <c r="C141" t="s">
        <v>182</v>
      </c>
      <c r="D141" t="s">
        <v>985</v>
      </c>
      <c r="E141" t="s">
        <v>113</v>
      </c>
      <c r="F141" t="s">
        <v>114</v>
      </c>
      <c r="G141" t="s">
        <v>115</v>
      </c>
      <c r="H141" t="s">
        <v>113</v>
      </c>
      <c r="I141" t="s">
        <v>116</v>
      </c>
      <c r="J141" t="s">
        <v>117</v>
      </c>
      <c r="K141" t="s">
        <v>118</v>
      </c>
      <c r="L141" t="s">
        <v>118</v>
      </c>
      <c r="M141" t="s">
        <v>113</v>
      </c>
      <c r="N141" t="s">
        <v>118</v>
      </c>
      <c r="O141" t="s">
        <v>118</v>
      </c>
      <c r="P141" t="s">
        <v>117</v>
      </c>
      <c r="Q141" t="s">
        <v>117</v>
      </c>
      <c r="R141" t="s">
        <v>296</v>
      </c>
      <c r="S141" t="s">
        <v>182</v>
      </c>
      <c r="T141" t="s">
        <v>121</v>
      </c>
      <c r="U141" t="s">
        <v>122</v>
      </c>
      <c r="V141" t="s">
        <v>986</v>
      </c>
      <c r="W141" t="s">
        <v>135</v>
      </c>
      <c r="X141" t="s">
        <v>987</v>
      </c>
      <c r="Y141" t="s">
        <v>988</v>
      </c>
      <c r="Z141">
        <v>110000</v>
      </c>
      <c r="AA141">
        <v>110000</v>
      </c>
      <c r="AB141">
        <v>0</v>
      </c>
      <c r="AC141">
        <v>44000</v>
      </c>
      <c r="AD141">
        <v>44000</v>
      </c>
      <c r="AE141">
        <v>0</v>
      </c>
      <c r="AF141">
        <v>12100</v>
      </c>
      <c r="AG141">
        <v>12100</v>
      </c>
      <c r="AH141">
        <v>0</v>
      </c>
      <c r="AI141">
        <v>0</v>
      </c>
      <c r="AJ141">
        <v>0</v>
      </c>
      <c r="AK141">
        <v>0</v>
      </c>
      <c r="AL141">
        <v>10000</v>
      </c>
      <c r="AM141">
        <v>10000</v>
      </c>
      <c r="AN141">
        <v>0</v>
      </c>
      <c r="AO141">
        <v>0</v>
      </c>
      <c r="AP141">
        <v>0</v>
      </c>
      <c r="AQ141">
        <v>0</v>
      </c>
      <c r="AR141">
        <v>85700</v>
      </c>
      <c r="AS141">
        <v>85700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21000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21000</v>
      </c>
      <c r="BH141">
        <v>282800</v>
      </c>
      <c r="BI141">
        <v>282800</v>
      </c>
      <c r="BJ141">
        <v>0</v>
      </c>
      <c r="BK141">
        <v>0</v>
      </c>
      <c r="BL141">
        <v>54253</v>
      </c>
      <c r="BM141">
        <v>200</v>
      </c>
      <c r="BN141">
        <v>0</v>
      </c>
      <c r="BO141">
        <v>0</v>
      </c>
      <c r="BP141">
        <v>13200</v>
      </c>
      <c r="BQ141">
        <v>0</v>
      </c>
      <c r="BR141">
        <v>13200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67653</v>
      </c>
      <c r="CZ141">
        <v>215147</v>
      </c>
      <c r="DA141" t="s">
        <v>118</v>
      </c>
      <c r="DB141" t="s">
        <v>118</v>
      </c>
      <c r="DC141">
        <v>215147</v>
      </c>
      <c r="DE141">
        <v>215457</v>
      </c>
      <c r="DF141">
        <f t="shared" si="2"/>
        <v>-310</v>
      </c>
      <c r="DG141" t="s">
        <v>989</v>
      </c>
    </row>
    <row r="142" spans="1:111">
      <c r="A142" t="s">
        <v>990</v>
      </c>
      <c r="B142" t="s">
        <v>991</v>
      </c>
      <c r="C142" t="s">
        <v>182</v>
      </c>
      <c r="D142" t="s">
        <v>992</v>
      </c>
      <c r="E142" t="s">
        <v>113</v>
      </c>
      <c r="F142" t="s">
        <v>114</v>
      </c>
      <c r="G142" t="s">
        <v>115</v>
      </c>
      <c r="H142" t="s">
        <v>113</v>
      </c>
      <c r="I142" t="s">
        <v>116</v>
      </c>
      <c r="J142" t="s">
        <v>117</v>
      </c>
      <c r="K142" t="s">
        <v>118</v>
      </c>
      <c r="L142" t="s">
        <v>118</v>
      </c>
      <c r="M142" t="s">
        <v>113</v>
      </c>
      <c r="N142" t="s">
        <v>118</v>
      </c>
      <c r="O142" t="s">
        <v>118</v>
      </c>
      <c r="P142" t="s">
        <v>117</v>
      </c>
      <c r="Q142" t="s">
        <v>117</v>
      </c>
      <c r="R142" t="s">
        <v>652</v>
      </c>
      <c r="S142" t="s">
        <v>169</v>
      </c>
      <c r="T142" t="s">
        <v>121</v>
      </c>
      <c r="U142" t="s">
        <v>122</v>
      </c>
      <c r="V142" t="s">
        <v>993</v>
      </c>
      <c r="W142" t="s">
        <v>135</v>
      </c>
      <c r="X142" t="s">
        <v>994</v>
      </c>
      <c r="Y142" t="s">
        <v>995</v>
      </c>
      <c r="Z142">
        <v>80767</v>
      </c>
      <c r="AA142">
        <v>80767</v>
      </c>
      <c r="AB142">
        <v>0</v>
      </c>
      <c r="AC142">
        <v>32307</v>
      </c>
      <c r="AD142">
        <v>32307</v>
      </c>
      <c r="AE142">
        <v>0</v>
      </c>
      <c r="AF142">
        <v>8884</v>
      </c>
      <c r="AG142">
        <v>8884</v>
      </c>
      <c r="AH142">
        <v>0</v>
      </c>
      <c r="AI142">
        <v>0</v>
      </c>
      <c r="AJ142">
        <v>0</v>
      </c>
      <c r="AK142">
        <v>0</v>
      </c>
      <c r="AL142">
        <v>10000</v>
      </c>
      <c r="AM142">
        <v>10000</v>
      </c>
      <c r="AN142">
        <v>0</v>
      </c>
      <c r="AO142">
        <v>0</v>
      </c>
      <c r="AP142">
        <v>0</v>
      </c>
      <c r="AQ142">
        <v>0</v>
      </c>
      <c r="AR142">
        <v>68159</v>
      </c>
      <c r="AS142">
        <v>68159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19000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19000</v>
      </c>
      <c r="BH142">
        <v>219117</v>
      </c>
      <c r="BI142">
        <v>219117</v>
      </c>
      <c r="BJ142">
        <v>0</v>
      </c>
      <c r="BK142">
        <v>0</v>
      </c>
      <c r="BL142">
        <v>21098</v>
      </c>
      <c r="BM142">
        <v>200</v>
      </c>
      <c r="BN142">
        <v>0</v>
      </c>
      <c r="BO142">
        <v>0</v>
      </c>
      <c r="BP142">
        <v>1800</v>
      </c>
      <c r="BQ142">
        <v>0</v>
      </c>
      <c r="BR142">
        <v>1800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23098</v>
      </c>
      <c r="CZ142">
        <v>196019</v>
      </c>
      <c r="DA142" t="s">
        <v>118</v>
      </c>
      <c r="DB142" t="s">
        <v>118</v>
      </c>
      <c r="DC142">
        <v>196019</v>
      </c>
      <c r="DE142">
        <v>197809</v>
      </c>
      <c r="DF142">
        <f t="shared" si="2"/>
        <v>-1790</v>
      </c>
      <c r="DG142" t="s">
        <v>996</v>
      </c>
    </row>
    <row r="143" spans="1:111">
      <c r="A143" t="s">
        <v>997</v>
      </c>
      <c r="B143" t="s">
        <v>998</v>
      </c>
      <c r="C143" t="s">
        <v>111</v>
      </c>
      <c r="D143" t="s">
        <v>992</v>
      </c>
      <c r="E143" t="s">
        <v>113</v>
      </c>
      <c r="F143" t="s">
        <v>114</v>
      </c>
      <c r="G143" t="s">
        <v>115</v>
      </c>
      <c r="H143" t="s">
        <v>113</v>
      </c>
      <c r="I143" t="s">
        <v>116</v>
      </c>
      <c r="J143" t="s">
        <v>117</v>
      </c>
      <c r="K143" t="s">
        <v>118</v>
      </c>
      <c r="L143" t="s">
        <v>118</v>
      </c>
      <c r="M143" t="s">
        <v>113</v>
      </c>
      <c r="N143" t="s">
        <v>118</v>
      </c>
      <c r="O143" t="s">
        <v>118</v>
      </c>
      <c r="P143" t="s">
        <v>117</v>
      </c>
      <c r="Q143" t="s">
        <v>117</v>
      </c>
      <c r="R143" t="s">
        <v>999</v>
      </c>
      <c r="S143" t="s">
        <v>120</v>
      </c>
      <c r="T143" t="s">
        <v>121</v>
      </c>
      <c r="U143" t="s">
        <v>122</v>
      </c>
      <c r="V143" t="s">
        <v>1000</v>
      </c>
      <c r="W143" t="s">
        <v>135</v>
      </c>
      <c r="X143" t="s">
        <v>1001</v>
      </c>
      <c r="Y143" t="s">
        <v>1002</v>
      </c>
      <c r="Z143">
        <v>6853</v>
      </c>
      <c r="AA143">
        <v>6853</v>
      </c>
      <c r="AB143">
        <v>0</v>
      </c>
      <c r="AC143">
        <v>2741</v>
      </c>
      <c r="AD143">
        <v>2741</v>
      </c>
      <c r="AE143">
        <v>0</v>
      </c>
      <c r="AF143">
        <v>754</v>
      </c>
      <c r="AG143">
        <v>754</v>
      </c>
      <c r="AH143">
        <v>0</v>
      </c>
      <c r="AI143">
        <v>0</v>
      </c>
      <c r="AJ143">
        <v>0</v>
      </c>
      <c r="AK143">
        <v>0</v>
      </c>
      <c r="AL143">
        <v>1713</v>
      </c>
      <c r="AM143">
        <v>1713</v>
      </c>
      <c r="AN143">
        <v>0</v>
      </c>
      <c r="AO143">
        <v>0</v>
      </c>
      <c r="AP143">
        <v>0</v>
      </c>
      <c r="AQ143">
        <v>0</v>
      </c>
      <c r="AR143">
        <v>3272</v>
      </c>
      <c r="AS143">
        <v>3272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15333</v>
      </c>
      <c r="BI143">
        <v>15333</v>
      </c>
      <c r="BJ143">
        <v>0</v>
      </c>
      <c r="BK143">
        <v>0</v>
      </c>
      <c r="BL143">
        <v>0</v>
      </c>
      <c r="BM143">
        <v>150</v>
      </c>
      <c r="BN143">
        <v>0</v>
      </c>
      <c r="BO143">
        <v>0</v>
      </c>
      <c r="BP143">
        <v>1800</v>
      </c>
      <c r="BQ143">
        <v>0</v>
      </c>
      <c r="BR143">
        <v>1800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1950</v>
      </c>
      <c r="CZ143">
        <v>13383</v>
      </c>
      <c r="DA143" t="s">
        <v>118</v>
      </c>
      <c r="DB143" t="s">
        <v>118</v>
      </c>
      <c r="DC143">
        <v>13383</v>
      </c>
      <c r="DE143">
        <v>13383</v>
      </c>
      <c r="DF143">
        <f t="shared" si="2"/>
        <v>0</v>
      </c>
    </row>
    <row r="144" spans="1:111">
      <c r="A144" t="s">
        <v>1003</v>
      </c>
      <c r="B144" t="s">
        <v>1004</v>
      </c>
      <c r="C144" t="s">
        <v>182</v>
      </c>
      <c r="D144" t="s">
        <v>1005</v>
      </c>
      <c r="E144" t="s">
        <v>113</v>
      </c>
      <c r="F144" t="s">
        <v>114</v>
      </c>
      <c r="G144" t="s">
        <v>115</v>
      </c>
      <c r="H144" t="s">
        <v>113</v>
      </c>
      <c r="I144" t="s">
        <v>116</v>
      </c>
      <c r="J144" t="s">
        <v>117</v>
      </c>
      <c r="K144" t="s">
        <v>118</v>
      </c>
      <c r="L144" t="s">
        <v>118</v>
      </c>
      <c r="M144" t="s">
        <v>113</v>
      </c>
      <c r="N144" t="s">
        <v>118</v>
      </c>
      <c r="O144" t="s">
        <v>118</v>
      </c>
      <c r="P144" t="s">
        <v>117</v>
      </c>
      <c r="Q144" t="s">
        <v>117</v>
      </c>
      <c r="R144" t="s">
        <v>296</v>
      </c>
      <c r="S144" t="s">
        <v>169</v>
      </c>
      <c r="T144" t="s">
        <v>121</v>
      </c>
      <c r="U144" t="s">
        <v>122</v>
      </c>
      <c r="V144" t="s">
        <v>1006</v>
      </c>
      <c r="W144" t="s">
        <v>135</v>
      </c>
      <c r="X144" t="s">
        <v>1007</v>
      </c>
      <c r="Y144" t="s">
        <v>1008</v>
      </c>
      <c r="Z144">
        <v>93847</v>
      </c>
      <c r="AA144">
        <v>93847</v>
      </c>
      <c r="AB144">
        <v>0</v>
      </c>
      <c r="AC144">
        <v>37539</v>
      </c>
      <c r="AD144">
        <v>37539</v>
      </c>
      <c r="AE144">
        <v>0</v>
      </c>
      <c r="AF144">
        <v>10323</v>
      </c>
      <c r="AG144">
        <v>10323</v>
      </c>
      <c r="AH144">
        <v>0</v>
      </c>
      <c r="AI144">
        <v>0</v>
      </c>
      <c r="AJ144">
        <v>0</v>
      </c>
      <c r="AK144">
        <v>0</v>
      </c>
      <c r="AL144">
        <v>10000</v>
      </c>
      <c r="AM144">
        <v>10000</v>
      </c>
      <c r="AN144">
        <v>0</v>
      </c>
      <c r="AO144">
        <v>0</v>
      </c>
      <c r="AP144">
        <v>0</v>
      </c>
      <c r="AQ144">
        <v>0</v>
      </c>
      <c r="AR144">
        <v>81108</v>
      </c>
      <c r="AS144">
        <v>81108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18000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18000</v>
      </c>
      <c r="BH144">
        <v>250817</v>
      </c>
      <c r="BI144">
        <v>250817</v>
      </c>
      <c r="BJ144">
        <v>0</v>
      </c>
      <c r="BK144">
        <v>0</v>
      </c>
      <c r="BL144">
        <v>29348</v>
      </c>
      <c r="BM144">
        <v>200</v>
      </c>
      <c r="BN144">
        <v>0</v>
      </c>
      <c r="BO144">
        <v>0</v>
      </c>
      <c r="BP144">
        <v>1800</v>
      </c>
      <c r="BQ144">
        <v>0</v>
      </c>
      <c r="BR144">
        <v>1800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31348</v>
      </c>
      <c r="CZ144">
        <v>219469</v>
      </c>
      <c r="DA144" t="s">
        <v>118</v>
      </c>
      <c r="DB144" t="s">
        <v>118</v>
      </c>
      <c r="DC144">
        <v>219469</v>
      </c>
      <c r="DE144">
        <v>223405</v>
      </c>
      <c r="DF144">
        <f t="shared" si="2"/>
        <v>-3936</v>
      </c>
      <c r="DG144" t="s">
        <v>1009</v>
      </c>
    </row>
    <row r="145" spans="1:111">
      <c r="A145" t="s">
        <v>1010</v>
      </c>
      <c r="B145" t="s">
        <v>1011</v>
      </c>
      <c r="C145" t="s">
        <v>158</v>
      </c>
      <c r="D145" t="s">
        <v>1012</v>
      </c>
      <c r="E145" t="s">
        <v>113</v>
      </c>
      <c r="F145" t="s">
        <v>114</v>
      </c>
      <c r="G145" t="s">
        <v>115</v>
      </c>
      <c r="H145" t="s">
        <v>113</v>
      </c>
      <c r="I145" t="s">
        <v>116</v>
      </c>
      <c r="J145" t="s">
        <v>117</v>
      </c>
      <c r="K145" t="s">
        <v>118</v>
      </c>
      <c r="L145" t="s">
        <v>118</v>
      </c>
      <c r="M145" t="s">
        <v>113</v>
      </c>
      <c r="N145" t="s">
        <v>118</v>
      </c>
      <c r="O145" t="s">
        <v>118</v>
      </c>
      <c r="P145" t="s">
        <v>117</v>
      </c>
      <c r="Q145" t="s">
        <v>117</v>
      </c>
      <c r="R145" t="s">
        <v>393</v>
      </c>
      <c r="S145" t="s">
        <v>169</v>
      </c>
      <c r="T145" t="s">
        <v>121</v>
      </c>
      <c r="U145" t="s">
        <v>122</v>
      </c>
      <c r="V145" t="s">
        <v>1013</v>
      </c>
      <c r="W145" t="s">
        <v>135</v>
      </c>
      <c r="X145" t="s">
        <v>1014</v>
      </c>
      <c r="Y145" t="s">
        <v>1015</v>
      </c>
      <c r="Z145">
        <v>13719</v>
      </c>
      <c r="AA145">
        <v>13719</v>
      </c>
      <c r="AB145">
        <v>0</v>
      </c>
      <c r="AC145">
        <v>5488</v>
      </c>
      <c r="AD145">
        <v>5488</v>
      </c>
      <c r="AE145">
        <v>0</v>
      </c>
      <c r="AF145">
        <v>1509</v>
      </c>
      <c r="AG145">
        <v>1509</v>
      </c>
      <c r="AH145">
        <v>0</v>
      </c>
      <c r="AI145">
        <v>0</v>
      </c>
      <c r="AJ145">
        <v>0</v>
      </c>
      <c r="AK145">
        <v>0</v>
      </c>
      <c r="AL145">
        <v>3430</v>
      </c>
      <c r="AM145">
        <v>3430</v>
      </c>
      <c r="AN145">
        <v>0</v>
      </c>
      <c r="AO145">
        <v>0</v>
      </c>
      <c r="AP145">
        <v>0</v>
      </c>
      <c r="AQ145">
        <v>0</v>
      </c>
      <c r="AR145">
        <v>8351</v>
      </c>
      <c r="AS145">
        <v>8351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32497</v>
      </c>
      <c r="BI145">
        <v>32497</v>
      </c>
      <c r="BJ145">
        <v>0</v>
      </c>
      <c r="BK145">
        <v>0</v>
      </c>
      <c r="BL145">
        <v>0</v>
      </c>
      <c r="BM145">
        <v>200</v>
      </c>
      <c r="BN145">
        <v>0</v>
      </c>
      <c r="BO145">
        <v>0</v>
      </c>
      <c r="BP145">
        <v>1800</v>
      </c>
      <c r="BQ145">
        <v>0</v>
      </c>
      <c r="BR145">
        <v>1800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2000</v>
      </c>
      <c r="CZ145">
        <v>30497</v>
      </c>
      <c r="DA145" t="s">
        <v>118</v>
      </c>
      <c r="DB145" t="s">
        <v>118</v>
      </c>
      <c r="DC145">
        <v>30497</v>
      </c>
      <c r="DE145">
        <v>30497</v>
      </c>
      <c r="DF145">
        <f t="shared" si="2"/>
        <v>0</v>
      </c>
    </row>
    <row r="146" spans="1:111">
      <c r="A146" t="s">
        <v>1016</v>
      </c>
      <c r="B146" t="s">
        <v>1017</v>
      </c>
      <c r="C146" t="s">
        <v>182</v>
      </c>
      <c r="D146" t="s">
        <v>1018</v>
      </c>
      <c r="E146" t="s">
        <v>113</v>
      </c>
      <c r="F146" t="s">
        <v>114</v>
      </c>
      <c r="G146" t="s">
        <v>115</v>
      </c>
      <c r="H146" t="s">
        <v>113</v>
      </c>
      <c r="I146" t="s">
        <v>116</v>
      </c>
      <c r="J146" t="s">
        <v>117</v>
      </c>
      <c r="K146" t="s">
        <v>118</v>
      </c>
      <c r="L146" t="s">
        <v>118</v>
      </c>
      <c r="M146" t="s">
        <v>113</v>
      </c>
      <c r="N146" t="s">
        <v>118</v>
      </c>
      <c r="O146" t="s">
        <v>118</v>
      </c>
      <c r="P146" t="s">
        <v>117</v>
      </c>
      <c r="Q146" t="s">
        <v>117</v>
      </c>
      <c r="R146" t="s">
        <v>296</v>
      </c>
      <c r="S146" t="s">
        <v>169</v>
      </c>
      <c r="T146" t="s">
        <v>121</v>
      </c>
      <c r="U146" t="s">
        <v>122</v>
      </c>
      <c r="V146" t="s">
        <v>1019</v>
      </c>
      <c r="W146" t="s">
        <v>135</v>
      </c>
      <c r="X146" t="s">
        <v>1020</v>
      </c>
      <c r="Y146" t="s">
        <v>1021</v>
      </c>
      <c r="Z146">
        <v>93803</v>
      </c>
      <c r="AA146">
        <v>93803</v>
      </c>
      <c r="AB146">
        <v>0</v>
      </c>
      <c r="AC146">
        <v>37521</v>
      </c>
      <c r="AD146">
        <v>37521</v>
      </c>
      <c r="AE146">
        <v>0</v>
      </c>
      <c r="AF146">
        <v>10318</v>
      </c>
      <c r="AG146">
        <v>10318</v>
      </c>
      <c r="AH146">
        <v>0</v>
      </c>
      <c r="AI146">
        <v>0</v>
      </c>
      <c r="AJ146">
        <v>0</v>
      </c>
      <c r="AK146">
        <v>0</v>
      </c>
      <c r="AL146">
        <v>10000</v>
      </c>
      <c r="AM146">
        <v>10000</v>
      </c>
      <c r="AN146">
        <v>0</v>
      </c>
      <c r="AO146">
        <v>0</v>
      </c>
      <c r="AP146">
        <v>0</v>
      </c>
      <c r="AQ146">
        <v>0</v>
      </c>
      <c r="AR146">
        <v>81066</v>
      </c>
      <c r="AS146">
        <v>81066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14000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14000</v>
      </c>
      <c r="BH146">
        <v>246708</v>
      </c>
      <c r="BI146">
        <v>246708</v>
      </c>
      <c r="BJ146">
        <v>0</v>
      </c>
      <c r="BK146">
        <v>0</v>
      </c>
      <c r="BL146">
        <v>27524</v>
      </c>
      <c r="BM146">
        <v>200</v>
      </c>
      <c r="BN146">
        <v>0</v>
      </c>
      <c r="BO146">
        <v>0</v>
      </c>
      <c r="BP146">
        <v>1800</v>
      </c>
      <c r="BQ146">
        <v>0</v>
      </c>
      <c r="BR146">
        <v>1800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29524</v>
      </c>
      <c r="CZ146">
        <v>217184</v>
      </c>
      <c r="DA146" t="s">
        <v>118</v>
      </c>
      <c r="DB146" t="s">
        <v>118</v>
      </c>
      <c r="DC146">
        <v>217184</v>
      </c>
      <c r="DE146">
        <v>195932</v>
      </c>
      <c r="DF146">
        <f t="shared" si="2"/>
        <v>21252</v>
      </c>
      <c r="DG146" t="s">
        <v>1022</v>
      </c>
    </row>
    <row r="147" spans="1:111">
      <c r="A147" t="s">
        <v>1023</v>
      </c>
      <c r="B147" t="s">
        <v>1024</v>
      </c>
      <c r="C147" t="s">
        <v>182</v>
      </c>
      <c r="D147" t="s">
        <v>1025</v>
      </c>
      <c r="E147" t="s">
        <v>113</v>
      </c>
      <c r="F147" t="s">
        <v>114</v>
      </c>
      <c r="G147" t="s">
        <v>115</v>
      </c>
      <c r="H147" t="s">
        <v>113</v>
      </c>
      <c r="I147" t="s">
        <v>116</v>
      </c>
      <c r="J147" t="s">
        <v>117</v>
      </c>
      <c r="K147" t="s">
        <v>118</v>
      </c>
      <c r="L147" t="s">
        <v>118</v>
      </c>
      <c r="M147" t="s">
        <v>113</v>
      </c>
      <c r="N147" t="s">
        <v>118</v>
      </c>
      <c r="O147" t="s">
        <v>118</v>
      </c>
      <c r="P147" t="s">
        <v>117</v>
      </c>
      <c r="Q147" t="s">
        <v>117</v>
      </c>
      <c r="R147" t="s">
        <v>652</v>
      </c>
      <c r="S147" t="s">
        <v>169</v>
      </c>
      <c r="T147" t="s">
        <v>121</v>
      </c>
      <c r="U147" t="s">
        <v>122</v>
      </c>
      <c r="V147" t="s">
        <v>1026</v>
      </c>
      <c r="W147" t="s">
        <v>135</v>
      </c>
      <c r="X147" t="s">
        <v>899</v>
      </c>
      <c r="Y147" t="s">
        <v>1027</v>
      </c>
      <c r="Z147">
        <v>50000</v>
      </c>
      <c r="AA147">
        <v>50000</v>
      </c>
      <c r="AB147">
        <v>0</v>
      </c>
      <c r="AC147">
        <v>20000</v>
      </c>
      <c r="AD147">
        <v>20000</v>
      </c>
      <c r="AE147">
        <v>0</v>
      </c>
      <c r="AF147">
        <v>5500</v>
      </c>
      <c r="AG147">
        <v>5500</v>
      </c>
      <c r="AH147">
        <v>0</v>
      </c>
      <c r="AI147">
        <v>0</v>
      </c>
      <c r="AJ147">
        <v>0</v>
      </c>
      <c r="AK147">
        <v>0</v>
      </c>
      <c r="AL147">
        <v>10000</v>
      </c>
      <c r="AM147">
        <v>10000</v>
      </c>
      <c r="AN147">
        <v>0</v>
      </c>
      <c r="AO147">
        <v>2200</v>
      </c>
      <c r="AP147">
        <v>2200</v>
      </c>
      <c r="AQ147">
        <v>0</v>
      </c>
      <c r="AR147">
        <v>35500</v>
      </c>
      <c r="AS147">
        <v>35500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123200</v>
      </c>
      <c r="BI147">
        <v>123200</v>
      </c>
      <c r="BJ147">
        <v>2200</v>
      </c>
      <c r="BK147">
        <v>0</v>
      </c>
      <c r="BL147">
        <v>0</v>
      </c>
      <c r="BM147">
        <v>200</v>
      </c>
      <c r="BN147">
        <v>0</v>
      </c>
      <c r="BO147">
        <v>0</v>
      </c>
      <c r="BP147">
        <v>1800</v>
      </c>
      <c r="BQ147">
        <v>0</v>
      </c>
      <c r="BR147">
        <v>1800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4200</v>
      </c>
      <c r="CZ147">
        <v>119000</v>
      </c>
      <c r="DA147" t="s">
        <v>118</v>
      </c>
      <c r="DB147" t="s">
        <v>118</v>
      </c>
      <c r="DC147">
        <v>119000</v>
      </c>
      <c r="DE147">
        <v>119000</v>
      </c>
      <c r="DF147">
        <f t="shared" si="2"/>
        <v>0</v>
      </c>
    </row>
    <row r="148" spans="1:111">
      <c r="A148" t="s">
        <v>1028</v>
      </c>
      <c r="B148" t="s">
        <v>1029</v>
      </c>
      <c r="C148" t="s">
        <v>182</v>
      </c>
      <c r="D148" t="s">
        <v>1025</v>
      </c>
      <c r="E148" t="s">
        <v>113</v>
      </c>
      <c r="F148" t="s">
        <v>114</v>
      </c>
      <c r="G148" t="s">
        <v>115</v>
      </c>
      <c r="H148" t="s">
        <v>113</v>
      </c>
      <c r="I148" t="s">
        <v>116</v>
      </c>
      <c r="J148" t="s">
        <v>117</v>
      </c>
      <c r="K148" t="s">
        <v>118</v>
      </c>
      <c r="L148" t="s">
        <v>118</v>
      </c>
      <c r="M148" t="s">
        <v>113</v>
      </c>
      <c r="N148" t="s">
        <v>118</v>
      </c>
      <c r="O148" t="s">
        <v>118</v>
      </c>
      <c r="P148" t="s">
        <v>117</v>
      </c>
      <c r="Q148" t="s">
        <v>117</v>
      </c>
      <c r="R148" t="s">
        <v>652</v>
      </c>
      <c r="S148" t="s">
        <v>169</v>
      </c>
      <c r="T148" t="s">
        <v>121</v>
      </c>
      <c r="U148" t="s">
        <v>122</v>
      </c>
      <c r="V148" t="s">
        <v>1030</v>
      </c>
      <c r="W148" t="s">
        <v>135</v>
      </c>
      <c r="X148" t="s">
        <v>899</v>
      </c>
      <c r="Y148" t="s">
        <v>1031</v>
      </c>
      <c r="Z148">
        <v>50000</v>
      </c>
      <c r="AA148">
        <v>50000</v>
      </c>
      <c r="AB148">
        <v>0</v>
      </c>
      <c r="AC148">
        <v>20000</v>
      </c>
      <c r="AD148">
        <v>20000</v>
      </c>
      <c r="AE148">
        <v>0</v>
      </c>
      <c r="AF148">
        <v>5500</v>
      </c>
      <c r="AG148">
        <v>5500</v>
      </c>
      <c r="AH148">
        <v>0</v>
      </c>
      <c r="AI148">
        <v>0</v>
      </c>
      <c r="AJ148">
        <v>0</v>
      </c>
      <c r="AK148">
        <v>0</v>
      </c>
      <c r="AL148">
        <v>10000</v>
      </c>
      <c r="AM148">
        <v>10000</v>
      </c>
      <c r="AN148">
        <v>0</v>
      </c>
      <c r="AO148">
        <v>2200</v>
      </c>
      <c r="AP148">
        <v>2200</v>
      </c>
      <c r="AQ148">
        <v>0</v>
      </c>
      <c r="AR148">
        <v>35500</v>
      </c>
      <c r="AS148">
        <v>35500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123200</v>
      </c>
      <c r="BI148">
        <v>123200</v>
      </c>
      <c r="BJ148">
        <v>2200</v>
      </c>
      <c r="BK148">
        <v>0</v>
      </c>
      <c r="BL148">
        <v>0</v>
      </c>
      <c r="BM148">
        <v>200</v>
      </c>
      <c r="BN148">
        <v>0</v>
      </c>
      <c r="BO148">
        <v>0</v>
      </c>
      <c r="BP148">
        <v>1800</v>
      </c>
      <c r="BQ148">
        <v>0</v>
      </c>
      <c r="BR148">
        <v>1800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4200</v>
      </c>
      <c r="CZ148">
        <v>119000</v>
      </c>
      <c r="DA148" t="s">
        <v>118</v>
      </c>
      <c r="DB148" t="s">
        <v>118</v>
      </c>
      <c r="DC148">
        <v>119000</v>
      </c>
      <c r="DE148">
        <v>119000</v>
      </c>
      <c r="DF148">
        <f t="shared" si="2"/>
        <v>0</v>
      </c>
    </row>
    <row r="149" spans="1:111">
      <c r="A149" t="s">
        <v>1032</v>
      </c>
      <c r="B149" t="s">
        <v>1033</v>
      </c>
      <c r="C149" t="s">
        <v>182</v>
      </c>
      <c r="D149" t="s">
        <v>1034</v>
      </c>
      <c r="E149" t="s">
        <v>113</v>
      </c>
      <c r="F149" t="s">
        <v>114</v>
      </c>
      <c r="G149" t="s">
        <v>115</v>
      </c>
      <c r="H149" t="s">
        <v>113</v>
      </c>
      <c r="I149" t="s">
        <v>116</v>
      </c>
      <c r="J149" t="s">
        <v>117</v>
      </c>
      <c r="K149" t="s">
        <v>118</v>
      </c>
      <c r="L149" t="s">
        <v>118</v>
      </c>
      <c r="M149" t="s">
        <v>113</v>
      </c>
      <c r="N149" t="s">
        <v>118</v>
      </c>
      <c r="O149" t="s">
        <v>118</v>
      </c>
      <c r="P149" t="s">
        <v>117</v>
      </c>
      <c r="Q149" t="s">
        <v>117</v>
      </c>
      <c r="R149" t="s">
        <v>652</v>
      </c>
      <c r="S149" t="s">
        <v>169</v>
      </c>
      <c r="T149" t="s">
        <v>121</v>
      </c>
      <c r="U149" t="s">
        <v>122</v>
      </c>
      <c r="V149" t="s">
        <v>1035</v>
      </c>
      <c r="W149" t="s">
        <v>124</v>
      </c>
      <c r="X149" t="s">
        <v>1036</v>
      </c>
      <c r="Y149" t="s">
        <v>1037</v>
      </c>
      <c r="Z149">
        <v>86340</v>
      </c>
      <c r="AA149">
        <v>86340</v>
      </c>
      <c r="AB149">
        <v>0</v>
      </c>
      <c r="AC149">
        <v>34536</v>
      </c>
      <c r="AD149">
        <v>34536</v>
      </c>
      <c r="AE149">
        <v>0</v>
      </c>
      <c r="AF149">
        <v>9497</v>
      </c>
      <c r="AG149">
        <v>9497</v>
      </c>
      <c r="AH149">
        <v>0</v>
      </c>
      <c r="AI149">
        <v>0</v>
      </c>
      <c r="AJ149">
        <v>0</v>
      </c>
      <c r="AK149">
        <v>0</v>
      </c>
      <c r="AL149">
        <v>10000</v>
      </c>
      <c r="AM149">
        <v>10000</v>
      </c>
      <c r="AN149">
        <v>0</v>
      </c>
      <c r="AO149">
        <v>0</v>
      </c>
      <c r="AP149">
        <v>0</v>
      </c>
      <c r="AQ149">
        <v>0</v>
      </c>
      <c r="AR149">
        <v>73677</v>
      </c>
      <c r="AS149">
        <v>73677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21000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21000</v>
      </c>
      <c r="BH149">
        <v>235050</v>
      </c>
      <c r="BI149">
        <v>235050</v>
      </c>
      <c r="BJ149">
        <v>0</v>
      </c>
      <c r="BK149">
        <v>0</v>
      </c>
      <c r="BL149">
        <v>21248</v>
      </c>
      <c r="BM149">
        <v>200</v>
      </c>
      <c r="BN149">
        <v>0</v>
      </c>
      <c r="BO149">
        <v>0</v>
      </c>
      <c r="BP149">
        <v>1800</v>
      </c>
      <c r="BQ149">
        <v>0</v>
      </c>
      <c r="BR149">
        <v>1800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23248</v>
      </c>
      <c r="CZ149">
        <v>211802</v>
      </c>
      <c r="DA149" t="s">
        <v>118</v>
      </c>
      <c r="DB149" t="s">
        <v>118</v>
      </c>
      <c r="DC149">
        <v>211802</v>
      </c>
      <c r="DE149">
        <v>213676</v>
      </c>
      <c r="DF149">
        <f t="shared" si="2"/>
        <v>-1874</v>
      </c>
      <c r="DG149" t="s">
        <v>1038</v>
      </c>
    </row>
    <row r="150" spans="1:111">
      <c r="A150" t="s">
        <v>1039</v>
      </c>
      <c r="B150" t="s">
        <v>1040</v>
      </c>
      <c r="C150" t="s">
        <v>182</v>
      </c>
      <c r="D150" t="s">
        <v>1034</v>
      </c>
      <c r="E150" t="s">
        <v>113</v>
      </c>
      <c r="F150" t="s">
        <v>114</v>
      </c>
      <c r="G150" t="s">
        <v>115</v>
      </c>
      <c r="H150" t="s">
        <v>113</v>
      </c>
      <c r="I150" t="s">
        <v>116</v>
      </c>
      <c r="J150" t="s">
        <v>117</v>
      </c>
      <c r="K150" t="s">
        <v>118</v>
      </c>
      <c r="L150" t="s">
        <v>118</v>
      </c>
      <c r="M150" t="s">
        <v>113</v>
      </c>
      <c r="N150" t="s">
        <v>118</v>
      </c>
      <c r="O150" t="s">
        <v>118</v>
      </c>
      <c r="P150" t="s">
        <v>117</v>
      </c>
      <c r="Q150" t="s">
        <v>117</v>
      </c>
      <c r="R150" t="s">
        <v>707</v>
      </c>
      <c r="S150" t="s">
        <v>169</v>
      </c>
      <c r="T150" t="s">
        <v>121</v>
      </c>
      <c r="U150" t="s">
        <v>122</v>
      </c>
      <c r="V150" t="s">
        <v>1041</v>
      </c>
      <c r="W150" t="s">
        <v>124</v>
      </c>
      <c r="X150" t="s">
        <v>846</v>
      </c>
      <c r="Y150" t="s">
        <v>1042</v>
      </c>
      <c r="Z150">
        <v>10448</v>
      </c>
      <c r="AA150">
        <v>10448</v>
      </c>
      <c r="AB150">
        <v>0</v>
      </c>
      <c r="AC150">
        <v>4179</v>
      </c>
      <c r="AD150">
        <v>4179</v>
      </c>
      <c r="AE150">
        <v>0</v>
      </c>
      <c r="AF150">
        <v>1149</v>
      </c>
      <c r="AG150">
        <v>1149</v>
      </c>
      <c r="AH150">
        <v>0</v>
      </c>
      <c r="AI150">
        <v>0</v>
      </c>
      <c r="AJ150">
        <v>0</v>
      </c>
      <c r="AK150">
        <v>0</v>
      </c>
      <c r="AL150">
        <v>2612</v>
      </c>
      <c r="AM150">
        <v>2612</v>
      </c>
      <c r="AN150">
        <v>0</v>
      </c>
      <c r="AO150">
        <v>0</v>
      </c>
      <c r="AP150">
        <v>0</v>
      </c>
      <c r="AQ150">
        <v>0</v>
      </c>
      <c r="AR150">
        <v>5932</v>
      </c>
      <c r="AS150">
        <v>5932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24320</v>
      </c>
      <c r="BI150">
        <v>24320</v>
      </c>
      <c r="BJ150">
        <v>0</v>
      </c>
      <c r="BK150">
        <v>0</v>
      </c>
      <c r="BL150">
        <v>0</v>
      </c>
      <c r="BM150">
        <v>200</v>
      </c>
      <c r="BN150">
        <v>0</v>
      </c>
      <c r="BO150">
        <v>0</v>
      </c>
      <c r="BP150">
        <v>1800</v>
      </c>
      <c r="BQ150">
        <v>0</v>
      </c>
      <c r="BR150">
        <v>1800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2000</v>
      </c>
      <c r="CZ150">
        <v>22320</v>
      </c>
      <c r="DA150" t="s">
        <v>118</v>
      </c>
      <c r="DB150" t="s">
        <v>118</v>
      </c>
      <c r="DC150">
        <v>22320</v>
      </c>
      <c r="DE150">
        <v>22320</v>
      </c>
      <c r="DF150">
        <f t="shared" si="2"/>
        <v>0</v>
      </c>
    </row>
    <row r="151" spans="1:111">
      <c r="A151" t="s">
        <v>1043</v>
      </c>
      <c r="B151" t="s">
        <v>1044</v>
      </c>
      <c r="C151" t="s">
        <v>111</v>
      </c>
      <c r="D151" t="s">
        <v>1045</v>
      </c>
      <c r="E151" t="s">
        <v>113</v>
      </c>
      <c r="F151" t="s">
        <v>114</v>
      </c>
      <c r="G151" t="s">
        <v>115</v>
      </c>
      <c r="H151" t="s">
        <v>113</v>
      </c>
      <c r="I151" t="s">
        <v>116</v>
      </c>
      <c r="J151" t="s">
        <v>117</v>
      </c>
      <c r="K151" t="s">
        <v>118</v>
      </c>
      <c r="L151" t="s">
        <v>118</v>
      </c>
      <c r="M151" t="s">
        <v>113</v>
      </c>
      <c r="N151" t="s">
        <v>118</v>
      </c>
      <c r="O151" t="s">
        <v>118</v>
      </c>
      <c r="P151" t="s">
        <v>117</v>
      </c>
      <c r="Q151" t="s">
        <v>117</v>
      </c>
      <c r="R151" t="s">
        <v>1046</v>
      </c>
      <c r="S151" t="s">
        <v>958</v>
      </c>
      <c r="T151" t="s">
        <v>121</v>
      </c>
      <c r="U151" t="s">
        <v>122</v>
      </c>
      <c r="V151" t="s">
        <v>1047</v>
      </c>
      <c r="W151" t="s">
        <v>135</v>
      </c>
      <c r="X151" t="s">
        <v>1048</v>
      </c>
      <c r="Y151" t="s">
        <v>1049</v>
      </c>
      <c r="Z151">
        <v>33667</v>
      </c>
      <c r="AA151">
        <v>33667</v>
      </c>
      <c r="AB151">
        <v>0</v>
      </c>
      <c r="AC151">
        <v>13467</v>
      </c>
      <c r="AD151">
        <v>13467</v>
      </c>
      <c r="AE151">
        <v>0</v>
      </c>
      <c r="AF151">
        <v>3703</v>
      </c>
      <c r="AG151">
        <v>3703</v>
      </c>
      <c r="AH151">
        <v>0</v>
      </c>
      <c r="AI151">
        <v>0</v>
      </c>
      <c r="AJ151">
        <v>0</v>
      </c>
      <c r="AK151">
        <v>0</v>
      </c>
      <c r="AL151">
        <v>8417</v>
      </c>
      <c r="AM151">
        <v>8417</v>
      </c>
      <c r="AN151">
        <v>0</v>
      </c>
      <c r="AO151">
        <v>0</v>
      </c>
      <c r="AP151">
        <v>0</v>
      </c>
      <c r="AQ151">
        <v>0</v>
      </c>
      <c r="AR151">
        <v>23113</v>
      </c>
      <c r="AS151">
        <v>23113</v>
      </c>
      <c r="AT151">
        <v>0</v>
      </c>
      <c r="AU151">
        <v>0</v>
      </c>
      <c r="AV151">
        <v>0</v>
      </c>
      <c r="AW151">
        <v>40000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40000</v>
      </c>
      <c r="BH151">
        <v>122367</v>
      </c>
      <c r="BI151">
        <v>122367</v>
      </c>
      <c r="BJ151">
        <v>0</v>
      </c>
      <c r="BK151">
        <v>0</v>
      </c>
      <c r="BL151">
        <v>0</v>
      </c>
      <c r="BM151">
        <v>200</v>
      </c>
      <c r="BN151">
        <v>0</v>
      </c>
      <c r="BO151">
        <v>0</v>
      </c>
      <c r="BP151">
        <v>1800</v>
      </c>
      <c r="BQ151">
        <v>0</v>
      </c>
      <c r="BR151">
        <v>1800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2000</v>
      </c>
      <c r="CZ151">
        <v>120367</v>
      </c>
      <c r="DA151" t="s">
        <v>118</v>
      </c>
      <c r="DB151" t="s">
        <v>118</v>
      </c>
      <c r="DC151">
        <v>120367</v>
      </c>
      <c r="DE151">
        <v>80367</v>
      </c>
      <c r="DF151">
        <f t="shared" si="2"/>
        <v>40000</v>
      </c>
      <c r="DG151" t="s">
        <v>1050</v>
      </c>
    </row>
    <row r="152" spans="1:111">
      <c r="A152" t="s">
        <v>1051</v>
      </c>
      <c r="B152" t="s">
        <v>1052</v>
      </c>
      <c r="C152" t="s">
        <v>182</v>
      </c>
      <c r="D152" t="s">
        <v>1053</v>
      </c>
      <c r="E152" t="s">
        <v>113</v>
      </c>
      <c r="F152" t="s">
        <v>114</v>
      </c>
      <c r="G152" t="s">
        <v>115</v>
      </c>
      <c r="H152" t="s">
        <v>113</v>
      </c>
      <c r="I152" t="s">
        <v>116</v>
      </c>
      <c r="J152" t="s">
        <v>117</v>
      </c>
      <c r="K152" t="s">
        <v>118</v>
      </c>
      <c r="L152" t="s">
        <v>118</v>
      </c>
      <c r="M152" t="s">
        <v>113</v>
      </c>
      <c r="N152" t="s">
        <v>118</v>
      </c>
      <c r="O152" t="s">
        <v>118</v>
      </c>
      <c r="P152" t="s">
        <v>117</v>
      </c>
      <c r="Q152" t="s">
        <v>117</v>
      </c>
      <c r="R152" t="s">
        <v>1054</v>
      </c>
      <c r="S152" t="s">
        <v>169</v>
      </c>
      <c r="T152" t="s">
        <v>121</v>
      </c>
      <c r="U152" t="s">
        <v>122</v>
      </c>
      <c r="V152" t="s">
        <v>1055</v>
      </c>
      <c r="W152" t="s">
        <v>135</v>
      </c>
      <c r="X152" t="s">
        <v>917</v>
      </c>
      <c r="Y152" t="s">
        <v>1056</v>
      </c>
      <c r="Z152">
        <v>116667</v>
      </c>
      <c r="AA152">
        <v>116667</v>
      </c>
      <c r="AB152">
        <v>0</v>
      </c>
      <c r="AC152">
        <v>46667</v>
      </c>
      <c r="AD152">
        <v>46667</v>
      </c>
      <c r="AE152">
        <v>0</v>
      </c>
      <c r="AF152">
        <v>12833</v>
      </c>
      <c r="AG152">
        <v>12833</v>
      </c>
      <c r="AH152">
        <v>0</v>
      </c>
      <c r="AI152">
        <v>0</v>
      </c>
      <c r="AJ152">
        <v>0</v>
      </c>
      <c r="AK152">
        <v>0</v>
      </c>
      <c r="AL152">
        <v>10000</v>
      </c>
      <c r="AM152">
        <v>10000</v>
      </c>
      <c r="AN152">
        <v>0</v>
      </c>
      <c r="AO152">
        <v>0</v>
      </c>
      <c r="AP152">
        <v>0</v>
      </c>
      <c r="AQ152">
        <v>0</v>
      </c>
      <c r="AR152">
        <v>91500</v>
      </c>
      <c r="AS152">
        <v>91500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277667</v>
      </c>
      <c r="BI152">
        <v>277667</v>
      </c>
      <c r="BJ152">
        <v>0</v>
      </c>
      <c r="BK152">
        <v>0</v>
      </c>
      <c r="BL152">
        <v>32619</v>
      </c>
      <c r="BM152">
        <v>200</v>
      </c>
      <c r="BN152">
        <v>0</v>
      </c>
      <c r="BO152">
        <v>0</v>
      </c>
      <c r="BP152">
        <v>14000</v>
      </c>
      <c r="BQ152">
        <v>0</v>
      </c>
      <c r="BR152">
        <v>14000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46819</v>
      </c>
      <c r="CZ152">
        <v>230848</v>
      </c>
      <c r="DA152" t="s">
        <v>118</v>
      </c>
      <c r="DB152" t="s">
        <v>118</v>
      </c>
      <c r="DC152">
        <v>230848</v>
      </c>
      <c r="DE152">
        <v>280848</v>
      </c>
      <c r="DF152">
        <f t="shared" si="2"/>
        <v>-50000</v>
      </c>
      <c r="DG152" t="s">
        <v>1057</v>
      </c>
    </row>
    <row r="153" spans="1:111">
      <c r="A153" t="s">
        <v>1058</v>
      </c>
      <c r="B153" t="s">
        <v>1059</v>
      </c>
      <c r="C153" t="s">
        <v>182</v>
      </c>
      <c r="D153" t="s">
        <v>1060</v>
      </c>
      <c r="E153" t="s">
        <v>113</v>
      </c>
      <c r="F153" t="s">
        <v>114</v>
      </c>
      <c r="G153" t="s">
        <v>115</v>
      </c>
      <c r="H153" t="s">
        <v>113</v>
      </c>
      <c r="I153" t="s">
        <v>116</v>
      </c>
      <c r="J153" t="s">
        <v>117</v>
      </c>
      <c r="K153" t="s">
        <v>118</v>
      </c>
      <c r="L153" t="s">
        <v>118</v>
      </c>
      <c r="M153" t="s">
        <v>113</v>
      </c>
      <c r="N153" t="s">
        <v>118</v>
      </c>
      <c r="O153" t="s">
        <v>118</v>
      </c>
      <c r="P153" t="s">
        <v>117</v>
      </c>
      <c r="Q153" t="s">
        <v>117</v>
      </c>
      <c r="R153" t="s">
        <v>1061</v>
      </c>
      <c r="S153" t="s">
        <v>169</v>
      </c>
      <c r="T153" t="s">
        <v>121</v>
      </c>
      <c r="U153" t="s">
        <v>122</v>
      </c>
      <c r="V153" t="s">
        <v>1062</v>
      </c>
      <c r="W153" t="s">
        <v>135</v>
      </c>
      <c r="X153" t="s">
        <v>1063</v>
      </c>
      <c r="Y153" t="s">
        <v>1064</v>
      </c>
      <c r="Z153">
        <v>38333</v>
      </c>
      <c r="AA153">
        <v>38333</v>
      </c>
      <c r="AB153">
        <v>0</v>
      </c>
      <c r="AC153">
        <v>15333</v>
      </c>
      <c r="AD153">
        <v>15333</v>
      </c>
      <c r="AE153">
        <v>0</v>
      </c>
      <c r="AF153">
        <v>4217</v>
      </c>
      <c r="AG153">
        <v>4217</v>
      </c>
      <c r="AH153">
        <v>0</v>
      </c>
      <c r="AI153">
        <v>0</v>
      </c>
      <c r="AJ153">
        <v>0</v>
      </c>
      <c r="AK153">
        <v>0</v>
      </c>
      <c r="AL153">
        <v>9583</v>
      </c>
      <c r="AM153">
        <v>9583</v>
      </c>
      <c r="AN153">
        <v>0</v>
      </c>
      <c r="AO153">
        <v>2200</v>
      </c>
      <c r="AP153">
        <v>2200</v>
      </c>
      <c r="AQ153">
        <v>0</v>
      </c>
      <c r="AR153">
        <v>24367</v>
      </c>
      <c r="AS153">
        <v>24367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94033</v>
      </c>
      <c r="BI153">
        <v>94033</v>
      </c>
      <c r="BJ153">
        <v>2200</v>
      </c>
      <c r="BK153">
        <v>0</v>
      </c>
      <c r="BL153">
        <v>0</v>
      </c>
      <c r="BM153">
        <v>200</v>
      </c>
      <c r="BN153">
        <v>0</v>
      </c>
      <c r="BO153">
        <v>0</v>
      </c>
      <c r="BP153">
        <v>1800</v>
      </c>
      <c r="BQ153">
        <v>0</v>
      </c>
      <c r="BR153">
        <v>1800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4200</v>
      </c>
      <c r="CZ153">
        <v>89833</v>
      </c>
      <c r="DA153" t="s">
        <v>118</v>
      </c>
      <c r="DB153" t="s">
        <v>118</v>
      </c>
      <c r="DC153">
        <v>89833</v>
      </c>
      <c r="DE153">
        <v>89833</v>
      </c>
      <c r="DF153">
        <f t="shared" si="2"/>
        <v>0</v>
      </c>
    </row>
    <row r="154" spans="1:111">
      <c r="A154" t="s">
        <v>1065</v>
      </c>
      <c r="B154" t="s">
        <v>1066</v>
      </c>
      <c r="C154" t="s">
        <v>182</v>
      </c>
      <c r="D154" t="s">
        <v>1067</v>
      </c>
      <c r="E154" t="s">
        <v>113</v>
      </c>
      <c r="F154" t="s">
        <v>114</v>
      </c>
      <c r="G154" t="s">
        <v>115</v>
      </c>
      <c r="H154" t="s">
        <v>113</v>
      </c>
      <c r="I154" t="s">
        <v>116</v>
      </c>
      <c r="J154" t="s">
        <v>117</v>
      </c>
      <c r="K154" t="s">
        <v>118</v>
      </c>
      <c r="L154" t="s">
        <v>118</v>
      </c>
      <c r="M154" t="s">
        <v>113</v>
      </c>
      <c r="N154" t="s">
        <v>118</v>
      </c>
      <c r="O154" t="s">
        <v>118</v>
      </c>
      <c r="P154" t="s">
        <v>117</v>
      </c>
      <c r="Q154" t="s">
        <v>117</v>
      </c>
      <c r="R154" t="s">
        <v>652</v>
      </c>
      <c r="S154" t="s">
        <v>169</v>
      </c>
      <c r="T154" t="s">
        <v>121</v>
      </c>
      <c r="U154" t="s">
        <v>122</v>
      </c>
      <c r="V154" t="s">
        <v>1068</v>
      </c>
      <c r="W154" t="s">
        <v>124</v>
      </c>
      <c r="X154" t="s">
        <v>1069</v>
      </c>
      <c r="Y154" t="s">
        <v>1070</v>
      </c>
      <c r="Z154">
        <v>64667</v>
      </c>
      <c r="AA154">
        <v>64667</v>
      </c>
      <c r="AB154">
        <v>0</v>
      </c>
      <c r="AC154">
        <v>25867</v>
      </c>
      <c r="AD154">
        <v>25867</v>
      </c>
      <c r="AE154">
        <v>0</v>
      </c>
      <c r="AF154">
        <v>7113</v>
      </c>
      <c r="AG154">
        <v>7113</v>
      </c>
      <c r="AH154">
        <v>0</v>
      </c>
      <c r="AI154">
        <v>0</v>
      </c>
      <c r="AJ154">
        <v>0</v>
      </c>
      <c r="AK154">
        <v>0</v>
      </c>
      <c r="AL154">
        <v>10000</v>
      </c>
      <c r="AM154">
        <v>10000</v>
      </c>
      <c r="AN154">
        <v>0</v>
      </c>
      <c r="AO154">
        <v>0</v>
      </c>
      <c r="AP154">
        <v>0</v>
      </c>
      <c r="AQ154">
        <v>0</v>
      </c>
      <c r="AR154">
        <v>46260</v>
      </c>
      <c r="AS154">
        <v>46260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20000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20000</v>
      </c>
      <c r="BH154">
        <v>173907</v>
      </c>
      <c r="BI154">
        <v>173907</v>
      </c>
      <c r="BJ154">
        <v>0</v>
      </c>
      <c r="BK154">
        <v>0</v>
      </c>
      <c r="BL154">
        <v>0</v>
      </c>
      <c r="BM154">
        <v>200</v>
      </c>
      <c r="BN154">
        <v>0</v>
      </c>
      <c r="BO154">
        <v>0</v>
      </c>
      <c r="BP154">
        <v>7760</v>
      </c>
      <c r="BQ154">
        <v>0</v>
      </c>
      <c r="BR154">
        <v>7760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7960</v>
      </c>
      <c r="CZ154">
        <v>165947</v>
      </c>
      <c r="DA154" t="s">
        <v>118</v>
      </c>
      <c r="DB154" t="s">
        <v>118</v>
      </c>
      <c r="DC154">
        <v>165947</v>
      </c>
      <c r="DE154">
        <v>166947</v>
      </c>
      <c r="DF154">
        <f t="shared" si="2"/>
        <v>-1000</v>
      </c>
      <c r="DG154" t="s">
        <v>1071</v>
      </c>
    </row>
    <row r="155" spans="1:111">
      <c r="A155" t="s">
        <v>1072</v>
      </c>
      <c r="B155" t="s">
        <v>1073</v>
      </c>
      <c r="C155" t="s">
        <v>182</v>
      </c>
      <c r="D155" t="s">
        <v>1074</v>
      </c>
      <c r="E155" t="s">
        <v>113</v>
      </c>
      <c r="F155" t="s">
        <v>114</v>
      </c>
      <c r="G155" t="s">
        <v>115</v>
      </c>
      <c r="H155" t="s">
        <v>113</v>
      </c>
      <c r="I155" t="s">
        <v>116</v>
      </c>
      <c r="J155" t="s">
        <v>117</v>
      </c>
      <c r="K155" t="s">
        <v>118</v>
      </c>
      <c r="L155" t="s">
        <v>118</v>
      </c>
      <c r="M155" t="s">
        <v>113</v>
      </c>
      <c r="N155" t="s">
        <v>118</v>
      </c>
      <c r="O155" t="s">
        <v>118</v>
      </c>
      <c r="P155" t="s">
        <v>117</v>
      </c>
      <c r="Q155" t="s">
        <v>117</v>
      </c>
      <c r="R155" t="s">
        <v>1075</v>
      </c>
      <c r="S155" t="s">
        <v>169</v>
      </c>
      <c r="T155" t="s">
        <v>121</v>
      </c>
      <c r="U155" t="s">
        <v>122</v>
      </c>
      <c r="V155" t="s">
        <v>1076</v>
      </c>
      <c r="W155" t="s">
        <v>135</v>
      </c>
      <c r="X155" t="s">
        <v>1077</v>
      </c>
      <c r="Y155" t="s">
        <v>1078</v>
      </c>
      <c r="Z155">
        <v>61667</v>
      </c>
      <c r="AA155">
        <v>61667</v>
      </c>
      <c r="AB155">
        <v>0</v>
      </c>
      <c r="AC155">
        <v>24667</v>
      </c>
      <c r="AD155">
        <v>24667</v>
      </c>
      <c r="AE155">
        <v>0</v>
      </c>
      <c r="AF155">
        <v>6783</v>
      </c>
      <c r="AG155">
        <v>6783</v>
      </c>
      <c r="AH155">
        <v>0</v>
      </c>
      <c r="AI155">
        <v>0</v>
      </c>
      <c r="AJ155">
        <v>0</v>
      </c>
      <c r="AK155">
        <v>0</v>
      </c>
      <c r="AL155">
        <v>10000</v>
      </c>
      <c r="AM155">
        <v>10000</v>
      </c>
      <c r="AN155">
        <v>0</v>
      </c>
      <c r="AO155">
        <v>2200</v>
      </c>
      <c r="AP155">
        <v>2200</v>
      </c>
      <c r="AQ155">
        <v>0</v>
      </c>
      <c r="AR155">
        <v>41450</v>
      </c>
      <c r="AS155">
        <v>41450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146767</v>
      </c>
      <c r="BI155">
        <v>146767</v>
      </c>
      <c r="BJ155">
        <v>2200</v>
      </c>
      <c r="BK155">
        <v>0</v>
      </c>
      <c r="BL155">
        <v>0</v>
      </c>
      <c r="BM155">
        <v>200</v>
      </c>
      <c r="BN155">
        <v>0</v>
      </c>
      <c r="BO155">
        <v>0</v>
      </c>
      <c r="BP155">
        <v>7400</v>
      </c>
      <c r="BQ155">
        <v>0</v>
      </c>
      <c r="BR155">
        <v>7400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9800</v>
      </c>
      <c r="CZ155">
        <v>136967</v>
      </c>
      <c r="DA155" t="s">
        <v>118</v>
      </c>
      <c r="DB155" t="s">
        <v>118</v>
      </c>
      <c r="DC155">
        <v>136967</v>
      </c>
      <c r="DE155">
        <v>136967</v>
      </c>
      <c r="DF155">
        <f t="shared" si="2"/>
        <v>0</v>
      </c>
    </row>
    <row r="156" spans="1:111">
      <c r="A156" t="s">
        <v>1079</v>
      </c>
      <c r="B156" t="s">
        <v>1080</v>
      </c>
      <c r="C156" t="s">
        <v>158</v>
      </c>
      <c r="D156" t="s">
        <v>1081</v>
      </c>
      <c r="E156" t="s">
        <v>113</v>
      </c>
      <c r="F156" t="s">
        <v>114</v>
      </c>
      <c r="G156" t="s">
        <v>115</v>
      </c>
      <c r="H156" t="s">
        <v>113</v>
      </c>
      <c r="I156" t="s">
        <v>116</v>
      </c>
      <c r="J156" t="s">
        <v>117</v>
      </c>
      <c r="K156" t="s">
        <v>118</v>
      </c>
      <c r="L156" t="s">
        <v>118</v>
      </c>
      <c r="M156" t="s">
        <v>113</v>
      </c>
      <c r="N156" t="s">
        <v>118</v>
      </c>
      <c r="O156" t="s">
        <v>118</v>
      </c>
      <c r="P156" t="s">
        <v>117</v>
      </c>
      <c r="Q156" t="s">
        <v>117</v>
      </c>
      <c r="R156" t="s">
        <v>652</v>
      </c>
      <c r="S156" t="s">
        <v>169</v>
      </c>
      <c r="T156" t="s">
        <v>121</v>
      </c>
      <c r="U156" t="s">
        <v>122</v>
      </c>
      <c r="V156" t="s">
        <v>1082</v>
      </c>
      <c r="W156" t="s">
        <v>1083</v>
      </c>
      <c r="X156" t="s">
        <v>1084</v>
      </c>
      <c r="Y156" t="s">
        <v>1085</v>
      </c>
      <c r="Z156">
        <v>73333</v>
      </c>
      <c r="AA156">
        <v>73333</v>
      </c>
      <c r="AB156">
        <v>0</v>
      </c>
      <c r="AC156">
        <v>29333</v>
      </c>
      <c r="AD156">
        <v>29333</v>
      </c>
      <c r="AE156">
        <v>0</v>
      </c>
      <c r="AF156">
        <v>8067</v>
      </c>
      <c r="AG156">
        <v>8067</v>
      </c>
      <c r="AH156">
        <v>0</v>
      </c>
      <c r="AI156">
        <v>0</v>
      </c>
      <c r="AJ156">
        <v>0</v>
      </c>
      <c r="AK156">
        <v>0</v>
      </c>
      <c r="AL156">
        <v>10000</v>
      </c>
      <c r="AM156">
        <v>10000</v>
      </c>
      <c r="AN156">
        <v>0</v>
      </c>
      <c r="AO156">
        <v>2200</v>
      </c>
      <c r="AP156">
        <v>2200</v>
      </c>
      <c r="AQ156">
        <v>0</v>
      </c>
      <c r="AR156">
        <v>51600</v>
      </c>
      <c r="AS156">
        <v>51600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174533</v>
      </c>
      <c r="BI156">
        <v>174533</v>
      </c>
      <c r="BJ156">
        <v>2200</v>
      </c>
      <c r="BK156">
        <v>0</v>
      </c>
      <c r="BL156">
        <v>3583</v>
      </c>
      <c r="BM156">
        <v>200</v>
      </c>
      <c r="BN156">
        <v>0</v>
      </c>
      <c r="BO156">
        <v>0</v>
      </c>
      <c r="BP156">
        <v>8800</v>
      </c>
      <c r="BQ156">
        <v>0</v>
      </c>
      <c r="BR156">
        <v>8800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14783</v>
      </c>
      <c r="CZ156">
        <v>159750</v>
      </c>
      <c r="DA156" t="s">
        <v>118</v>
      </c>
      <c r="DB156" t="s">
        <v>118</v>
      </c>
      <c r="DC156">
        <v>159750</v>
      </c>
      <c r="DE156">
        <v>159750</v>
      </c>
      <c r="DF156">
        <f t="shared" si="2"/>
        <v>0</v>
      </c>
    </row>
    <row r="157" spans="1:111">
      <c r="A157" t="s">
        <v>1086</v>
      </c>
      <c r="B157" t="s">
        <v>1087</v>
      </c>
      <c r="C157" t="s">
        <v>182</v>
      </c>
      <c r="D157" t="s">
        <v>1088</v>
      </c>
      <c r="E157" t="s">
        <v>113</v>
      </c>
      <c r="F157" t="s">
        <v>114</v>
      </c>
      <c r="G157" t="s">
        <v>115</v>
      </c>
      <c r="H157" t="s">
        <v>113</v>
      </c>
      <c r="I157" t="s">
        <v>116</v>
      </c>
      <c r="J157" t="s">
        <v>117</v>
      </c>
      <c r="K157" t="s">
        <v>118</v>
      </c>
      <c r="L157" t="s">
        <v>118</v>
      </c>
      <c r="M157" t="s">
        <v>113</v>
      </c>
      <c r="N157" t="s">
        <v>118</v>
      </c>
      <c r="O157" t="s">
        <v>118</v>
      </c>
      <c r="P157" t="s">
        <v>117</v>
      </c>
      <c r="Q157" t="s">
        <v>117</v>
      </c>
      <c r="R157" t="s">
        <v>1089</v>
      </c>
      <c r="S157" t="s">
        <v>169</v>
      </c>
      <c r="T157" t="s">
        <v>121</v>
      </c>
      <c r="U157" t="s">
        <v>122</v>
      </c>
      <c r="V157" t="s">
        <v>1090</v>
      </c>
      <c r="W157" t="s">
        <v>135</v>
      </c>
      <c r="X157" t="s">
        <v>1091</v>
      </c>
      <c r="Y157" t="s">
        <v>1092</v>
      </c>
      <c r="Z157">
        <v>73567</v>
      </c>
      <c r="AA157">
        <v>73567</v>
      </c>
      <c r="AB157">
        <v>0</v>
      </c>
      <c r="AC157">
        <v>29427</v>
      </c>
      <c r="AD157">
        <v>29427</v>
      </c>
      <c r="AE157">
        <v>0</v>
      </c>
      <c r="AF157">
        <v>8092</v>
      </c>
      <c r="AG157">
        <v>8092</v>
      </c>
      <c r="AH157">
        <v>0</v>
      </c>
      <c r="AI157">
        <v>0</v>
      </c>
      <c r="AJ157">
        <v>0</v>
      </c>
      <c r="AK157">
        <v>0</v>
      </c>
      <c r="AL157">
        <v>10000</v>
      </c>
      <c r="AM157">
        <v>10000</v>
      </c>
      <c r="AN157">
        <v>0</v>
      </c>
      <c r="AO157">
        <v>0</v>
      </c>
      <c r="AP157">
        <v>0</v>
      </c>
      <c r="AQ157">
        <v>0</v>
      </c>
      <c r="AR157">
        <v>61031</v>
      </c>
      <c r="AS157">
        <v>61031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182117</v>
      </c>
      <c r="BI157">
        <v>182117</v>
      </c>
      <c r="BJ157">
        <v>0</v>
      </c>
      <c r="BK157">
        <v>0</v>
      </c>
      <c r="BL157">
        <v>11099</v>
      </c>
      <c r="BM157">
        <v>200</v>
      </c>
      <c r="BN157">
        <v>0</v>
      </c>
      <c r="BO157">
        <v>0</v>
      </c>
      <c r="BP157">
        <v>1800</v>
      </c>
      <c r="BQ157">
        <v>0</v>
      </c>
      <c r="BR157">
        <v>1800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13099</v>
      </c>
      <c r="CZ157">
        <v>169018</v>
      </c>
      <c r="DA157" t="s">
        <v>118</v>
      </c>
      <c r="DB157" t="s">
        <v>118</v>
      </c>
      <c r="DC157">
        <v>169018</v>
      </c>
      <c r="DE157">
        <v>169018</v>
      </c>
      <c r="DF157">
        <f t="shared" si="2"/>
        <v>0</v>
      </c>
    </row>
    <row r="158" spans="1:111">
      <c r="A158" t="s">
        <v>1093</v>
      </c>
      <c r="B158" t="s">
        <v>1094</v>
      </c>
      <c r="C158" t="s">
        <v>182</v>
      </c>
      <c r="D158" t="s">
        <v>1088</v>
      </c>
      <c r="E158" t="s">
        <v>113</v>
      </c>
      <c r="F158" t="s">
        <v>114</v>
      </c>
      <c r="G158" t="s">
        <v>115</v>
      </c>
      <c r="H158" t="s">
        <v>113</v>
      </c>
      <c r="I158" t="s">
        <v>116</v>
      </c>
      <c r="J158" t="s">
        <v>117</v>
      </c>
      <c r="K158" t="s">
        <v>118</v>
      </c>
      <c r="L158" t="s">
        <v>118</v>
      </c>
      <c r="M158" t="s">
        <v>113</v>
      </c>
      <c r="N158" t="s">
        <v>118</v>
      </c>
      <c r="O158" t="s">
        <v>118</v>
      </c>
      <c r="P158" t="s">
        <v>117</v>
      </c>
      <c r="Q158" t="s">
        <v>117</v>
      </c>
      <c r="R158" t="s">
        <v>652</v>
      </c>
      <c r="S158" t="s">
        <v>169</v>
      </c>
      <c r="T158" t="s">
        <v>121</v>
      </c>
      <c r="U158" t="s">
        <v>122</v>
      </c>
      <c r="V158" t="s">
        <v>1095</v>
      </c>
      <c r="W158" t="s">
        <v>135</v>
      </c>
      <c r="X158" t="s">
        <v>1096</v>
      </c>
      <c r="Y158" t="s">
        <v>1097</v>
      </c>
      <c r="Z158">
        <v>77000</v>
      </c>
      <c r="AA158">
        <v>77000</v>
      </c>
      <c r="AB158">
        <v>0</v>
      </c>
      <c r="AC158">
        <v>30800</v>
      </c>
      <c r="AD158">
        <v>30800</v>
      </c>
      <c r="AE158">
        <v>0</v>
      </c>
      <c r="AF158">
        <v>8470</v>
      </c>
      <c r="AG158">
        <v>8470</v>
      </c>
      <c r="AH158">
        <v>0</v>
      </c>
      <c r="AI158">
        <v>0</v>
      </c>
      <c r="AJ158">
        <v>0</v>
      </c>
      <c r="AK158">
        <v>0</v>
      </c>
      <c r="AL158">
        <v>10000</v>
      </c>
      <c r="AM158">
        <v>10000</v>
      </c>
      <c r="AN158">
        <v>0</v>
      </c>
      <c r="AO158">
        <v>0</v>
      </c>
      <c r="AP158">
        <v>0</v>
      </c>
      <c r="AQ158">
        <v>0</v>
      </c>
      <c r="AR158">
        <v>64430</v>
      </c>
      <c r="AS158">
        <v>64430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20000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20000</v>
      </c>
      <c r="BH158">
        <v>210700</v>
      </c>
      <c r="BI158">
        <v>210700</v>
      </c>
      <c r="BJ158">
        <v>0</v>
      </c>
      <c r="BK158">
        <v>0</v>
      </c>
      <c r="BL158">
        <v>13025</v>
      </c>
      <c r="BM158">
        <v>200</v>
      </c>
      <c r="BN158">
        <v>0</v>
      </c>
      <c r="BO158">
        <v>0</v>
      </c>
      <c r="BP158">
        <v>1800</v>
      </c>
      <c r="BQ158">
        <v>0</v>
      </c>
      <c r="BR158">
        <v>1800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15025</v>
      </c>
      <c r="CZ158">
        <v>195675</v>
      </c>
      <c r="DA158" t="s">
        <v>118</v>
      </c>
      <c r="DB158" t="s">
        <v>118</v>
      </c>
      <c r="DC158">
        <v>195675</v>
      </c>
      <c r="DE158">
        <v>198299</v>
      </c>
      <c r="DF158">
        <f t="shared" si="2"/>
        <v>-2624</v>
      </c>
      <c r="DG158" t="s">
        <v>1098</v>
      </c>
    </row>
    <row r="159" spans="1:111">
      <c r="A159" t="s">
        <v>1099</v>
      </c>
      <c r="B159" t="s">
        <v>1100</v>
      </c>
      <c r="C159" t="s">
        <v>158</v>
      </c>
      <c r="D159" t="s">
        <v>1101</v>
      </c>
      <c r="E159" t="s">
        <v>113</v>
      </c>
      <c r="F159" t="s">
        <v>114</v>
      </c>
      <c r="G159" t="s">
        <v>115</v>
      </c>
      <c r="H159" t="s">
        <v>113</v>
      </c>
      <c r="I159" t="s">
        <v>116</v>
      </c>
      <c r="J159" t="s">
        <v>117</v>
      </c>
      <c r="K159" t="s">
        <v>118</v>
      </c>
      <c r="L159" t="s">
        <v>118</v>
      </c>
      <c r="M159" t="s">
        <v>113</v>
      </c>
      <c r="N159" t="s">
        <v>118</v>
      </c>
      <c r="O159" t="s">
        <v>118</v>
      </c>
      <c r="P159" t="s">
        <v>117</v>
      </c>
      <c r="Q159" t="s">
        <v>117</v>
      </c>
      <c r="R159" t="s">
        <v>1102</v>
      </c>
      <c r="S159" t="s">
        <v>169</v>
      </c>
      <c r="T159" t="s">
        <v>121</v>
      </c>
      <c r="U159" t="s">
        <v>122</v>
      </c>
      <c r="V159" t="s">
        <v>1103</v>
      </c>
      <c r="W159" t="s">
        <v>124</v>
      </c>
      <c r="X159" t="s">
        <v>1104</v>
      </c>
      <c r="Y159" t="s">
        <v>1105</v>
      </c>
      <c r="Z159">
        <v>81300</v>
      </c>
      <c r="AA159">
        <v>81300</v>
      </c>
      <c r="AB159">
        <v>0</v>
      </c>
      <c r="AC159">
        <v>32520</v>
      </c>
      <c r="AD159">
        <v>32520</v>
      </c>
      <c r="AE159">
        <v>0</v>
      </c>
      <c r="AF159">
        <v>8943</v>
      </c>
      <c r="AG159">
        <v>8943</v>
      </c>
      <c r="AH159">
        <v>0</v>
      </c>
      <c r="AI159">
        <v>0</v>
      </c>
      <c r="AJ159">
        <v>0</v>
      </c>
      <c r="AK159">
        <v>0</v>
      </c>
      <c r="AL159">
        <v>10000</v>
      </c>
      <c r="AM159">
        <v>10000</v>
      </c>
      <c r="AN159">
        <v>0</v>
      </c>
      <c r="AO159">
        <v>0</v>
      </c>
      <c r="AP159">
        <v>0</v>
      </c>
      <c r="AQ159">
        <v>0</v>
      </c>
      <c r="AR159">
        <v>68687</v>
      </c>
      <c r="AS159">
        <v>68687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14000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14000</v>
      </c>
      <c r="BH159">
        <v>215450</v>
      </c>
      <c r="BI159">
        <v>215450</v>
      </c>
      <c r="BJ159">
        <v>0</v>
      </c>
      <c r="BK159">
        <v>0</v>
      </c>
      <c r="BL159">
        <v>13339</v>
      </c>
      <c r="BM159">
        <v>200</v>
      </c>
      <c r="BN159">
        <v>0</v>
      </c>
      <c r="BO159">
        <v>0</v>
      </c>
      <c r="BP159">
        <v>1800</v>
      </c>
      <c r="BQ159">
        <v>0</v>
      </c>
      <c r="BR159">
        <v>1800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15339</v>
      </c>
      <c r="CZ159">
        <v>200111</v>
      </c>
      <c r="DA159" t="s">
        <v>118</v>
      </c>
      <c r="DB159" t="s">
        <v>118</v>
      </c>
      <c r="DC159">
        <v>200111</v>
      </c>
      <c r="DE159">
        <v>219794</v>
      </c>
      <c r="DF159">
        <f t="shared" si="2"/>
        <v>-19683</v>
      </c>
      <c r="DG159" t="s">
        <v>1106</v>
      </c>
    </row>
    <row r="160" spans="1:111">
      <c r="A160" t="s">
        <v>1107</v>
      </c>
      <c r="B160" t="s">
        <v>1108</v>
      </c>
      <c r="C160" t="s">
        <v>1109</v>
      </c>
      <c r="D160" t="s">
        <v>1110</v>
      </c>
      <c r="E160" t="s">
        <v>113</v>
      </c>
      <c r="F160" t="s">
        <v>114</v>
      </c>
      <c r="G160" t="s">
        <v>115</v>
      </c>
      <c r="H160" t="s">
        <v>113</v>
      </c>
      <c r="I160" t="s">
        <v>116</v>
      </c>
      <c r="J160" t="s">
        <v>117</v>
      </c>
      <c r="K160" t="s">
        <v>118</v>
      </c>
      <c r="L160" t="s">
        <v>118</v>
      </c>
      <c r="M160" t="s">
        <v>113</v>
      </c>
      <c r="N160" t="s">
        <v>118</v>
      </c>
      <c r="O160" t="s">
        <v>118</v>
      </c>
      <c r="P160" t="s">
        <v>117</v>
      </c>
      <c r="Q160" t="s">
        <v>117</v>
      </c>
      <c r="R160" t="s">
        <v>1111</v>
      </c>
      <c r="S160" t="s">
        <v>1112</v>
      </c>
      <c r="T160" t="s">
        <v>121</v>
      </c>
      <c r="U160" t="s">
        <v>122</v>
      </c>
      <c r="V160" t="s">
        <v>1113</v>
      </c>
      <c r="W160" t="s">
        <v>135</v>
      </c>
      <c r="X160" t="s">
        <v>1114</v>
      </c>
      <c r="Y160" t="s">
        <v>1115</v>
      </c>
      <c r="Z160">
        <v>249700</v>
      </c>
      <c r="AA160">
        <v>249700</v>
      </c>
      <c r="AB160">
        <v>0</v>
      </c>
      <c r="AC160">
        <v>99880</v>
      </c>
      <c r="AD160">
        <v>99880</v>
      </c>
      <c r="AE160">
        <v>0</v>
      </c>
      <c r="AF160">
        <v>27467</v>
      </c>
      <c r="AG160">
        <v>27467</v>
      </c>
      <c r="AH160">
        <v>0</v>
      </c>
      <c r="AI160">
        <v>0</v>
      </c>
      <c r="AJ160">
        <v>0</v>
      </c>
      <c r="AK160">
        <v>0</v>
      </c>
      <c r="AL160">
        <v>10000</v>
      </c>
      <c r="AM160">
        <v>10000</v>
      </c>
      <c r="AN160">
        <v>0</v>
      </c>
      <c r="AO160">
        <v>2200</v>
      </c>
      <c r="AP160">
        <v>2200</v>
      </c>
      <c r="AQ160">
        <v>0</v>
      </c>
      <c r="AR160">
        <v>205039</v>
      </c>
      <c r="AS160">
        <v>205039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594286</v>
      </c>
      <c r="BI160">
        <v>594286</v>
      </c>
      <c r="BJ160">
        <v>2200</v>
      </c>
      <c r="BK160">
        <v>0</v>
      </c>
      <c r="BL160">
        <v>119234</v>
      </c>
      <c r="BM160">
        <v>200</v>
      </c>
      <c r="BN160">
        <v>0</v>
      </c>
      <c r="BO160">
        <v>0</v>
      </c>
      <c r="BP160">
        <v>29964</v>
      </c>
      <c r="BQ160">
        <v>0</v>
      </c>
      <c r="BR160">
        <v>29964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151598</v>
      </c>
      <c r="CZ160">
        <v>442688</v>
      </c>
      <c r="DA160" t="s">
        <v>118</v>
      </c>
      <c r="DB160" t="s">
        <v>118</v>
      </c>
      <c r="DC160">
        <v>442688</v>
      </c>
      <c r="DE160">
        <v>442688</v>
      </c>
      <c r="DF160">
        <f t="shared" si="2"/>
        <v>0</v>
      </c>
    </row>
    <row r="161" spans="1:113">
      <c r="A161" t="s">
        <v>1116</v>
      </c>
      <c r="B161" t="s">
        <v>1117</v>
      </c>
      <c r="C161" t="s">
        <v>158</v>
      </c>
      <c r="D161" t="s">
        <v>1110</v>
      </c>
      <c r="E161" t="s">
        <v>113</v>
      </c>
      <c r="F161" t="s">
        <v>114</v>
      </c>
      <c r="G161" t="s">
        <v>115</v>
      </c>
      <c r="H161" t="s">
        <v>113</v>
      </c>
      <c r="I161" t="s">
        <v>116</v>
      </c>
      <c r="J161" t="s">
        <v>117</v>
      </c>
      <c r="K161" t="s">
        <v>118</v>
      </c>
      <c r="L161" t="s">
        <v>118</v>
      </c>
      <c r="M161" t="s">
        <v>113</v>
      </c>
      <c r="N161" t="s">
        <v>118</v>
      </c>
      <c r="O161" t="s">
        <v>118</v>
      </c>
      <c r="P161" t="s">
        <v>117</v>
      </c>
      <c r="Q161" t="s">
        <v>117</v>
      </c>
      <c r="R161" t="s">
        <v>767</v>
      </c>
      <c r="S161" t="s">
        <v>169</v>
      </c>
      <c r="T161" t="s">
        <v>121</v>
      </c>
      <c r="U161" t="s">
        <v>122</v>
      </c>
      <c r="V161" t="s">
        <v>1118</v>
      </c>
      <c r="W161" t="s">
        <v>135</v>
      </c>
      <c r="X161" t="s">
        <v>1119</v>
      </c>
      <c r="Y161" t="s">
        <v>1120</v>
      </c>
      <c r="Z161">
        <v>56767</v>
      </c>
      <c r="AA161">
        <v>56767</v>
      </c>
      <c r="AB161">
        <v>0</v>
      </c>
      <c r="AC161">
        <v>22707</v>
      </c>
      <c r="AD161">
        <v>22707</v>
      </c>
      <c r="AE161">
        <v>0</v>
      </c>
      <c r="AF161">
        <v>6244</v>
      </c>
      <c r="AG161">
        <v>6244</v>
      </c>
      <c r="AH161">
        <v>0</v>
      </c>
      <c r="AI161">
        <v>0</v>
      </c>
      <c r="AJ161">
        <v>0</v>
      </c>
      <c r="AK161">
        <v>0</v>
      </c>
      <c r="AL161">
        <v>10000</v>
      </c>
      <c r="AM161">
        <v>10000</v>
      </c>
      <c r="AN161">
        <v>0</v>
      </c>
      <c r="AO161">
        <v>0</v>
      </c>
      <c r="AP161">
        <v>0</v>
      </c>
      <c r="AQ161">
        <v>0</v>
      </c>
      <c r="AR161">
        <v>44399</v>
      </c>
      <c r="AS161">
        <v>44399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140117</v>
      </c>
      <c r="BI161">
        <v>140117</v>
      </c>
      <c r="BJ161">
        <v>0</v>
      </c>
      <c r="BK161">
        <v>0</v>
      </c>
      <c r="BL161">
        <v>0</v>
      </c>
      <c r="BM161">
        <v>200</v>
      </c>
      <c r="BN161">
        <v>0</v>
      </c>
      <c r="BO161">
        <v>0</v>
      </c>
      <c r="BP161">
        <v>1800</v>
      </c>
      <c r="BQ161">
        <v>0</v>
      </c>
      <c r="BR161">
        <v>1800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2000</v>
      </c>
      <c r="CZ161">
        <v>138117</v>
      </c>
      <c r="DA161" t="s">
        <v>118</v>
      </c>
      <c r="DB161" t="s">
        <v>118</v>
      </c>
      <c r="DC161">
        <v>138117</v>
      </c>
      <c r="DE161">
        <v>138117</v>
      </c>
      <c r="DF161">
        <f t="shared" si="2"/>
        <v>0</v>
      </c>
    </row>
    <row r="162" spans="1:113">
      <c r="A162" t="s">
        <v>1121</v>
      </c>
      <c r="B162" t="s">
        <v>1122</v>
      </c>
      <c r="C162" t="s">
        <v>158</v>
      </c>
      <c r="D162" t="s">
        <v>1110</v>
      </c>
      <c r="E162" t="s">
        <v>113</v>
      </c>
      <c r="F162" t="s">
        <v>114</v>
      </c>
      <c r="G162" t="s">
        <v>115</v>
      </c>
      <c r="H162" t="s">
        <v>113</v>
      </c>
      <c r="I162" t="s">
        <v>116</v>
      </c>
      <c r="J162" t="s">
        <v>117</v>
      </c>
      <c r="K162" t="s">
        <v>118</v>
      </c>
      <c r="L162" t="s">
        <v>118</v>
      </c>
      <c r="M162" t="s">
        <v>113</v>
      </c>
      <c r="N162" t="s">
        <v>118</v>
      </c>
      <c r="O162" t="s">
        <v>118</v>
      </c>
      <c r="P162" t="s">
        <v>117</v>
      </c>
      <c r="Q162" t="s">
        <v>117</v>
      </c>
      <c r="R162" t="s">
        <v>652</v>
      </c>
      <c r="S162" t="s">
        <v>169</v>
      </c>
      <c r="T162" t="s">
        <v>121</v>
      </c>
      <c r="U162" t="s">
        <v>122</v>
      </c>
      <c r="V162" t="s">
        <v>1123</v>
      </c>
      <c r="W162" t="s">
        <v>124</v>
      </c>
      <c r="X162" t="s">
        <v>1124</v>
      </c>
      <c r="Y162" t="s">
        <v>1125</v>
      </c>
      <c r="Z162">
        <v>48933</v>
      </c>
      <c r="AA162">
        <v>48933</v>
      </c>
      <c r="AB162">
        <v>0</v>
      </c>
      <c r="AC162">
        <v>19573</v>
      </c>
      <c r="AD162">
        <v>19573</v>
      </c>
      <c r="AE162">
        <v>0</v>
      </c>
      <c r="AF162">
        <v>5383</v>
      </c>
      <c r="AG162">
        <v>5383</v>
      </c>
      <c r="AH162">
        <v>0</v>
      </c>
      <c r="AI162">
        <v>0</v>
      </c>
      <c r="AJ162">
        <v>0</v>
      </c>
      <c r="AK162">
        <v>0</v>
      </c>
      <c r="AL162">
        <v>10000</v>
      </c>
      <c r="AM162">
        <v>10000</v>
      </c>
      <c r="AN162">
        <v>0</v>
      </c>
      <c r="AO162">
        <v>0</v>
      </c>
      <c r="AP162">
        <v>0</v>
      </c>
      <c r="AQ162">
        <v>0</v>
      </c>
      <c r="AR162">
        <v>36644</v>
      </c>
      <c r="AS162">
        <v>36644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120533</v>
      </c>
      <c r="BI162">
        <v>120533</v>
      </c>
      <c r="BJ162">
        <v>0</v>
      </c>
      <c r="BK162">
        <v>0</v>
      </c>
      <c r="BL162">
        <v>0</v>
      </c>
      <c r="BM162">
        <v>200</v>
      </c>
      <c r="BN162">
        <v>0</v>
      </c>
      <c r="BO162">
        <v>0</v>
      </c>
      <c r="BP162">
        <v>1800</v>
      </c>
      <c r="BQ162">
        <v>0</v>
      </c>
      <c r="BR162">
        <v>1800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2000</v>
      </c>
      <c r="CZ162">
        <v>118533</v>
      </c>
      <c r="DA162" t="s">
        <v>118</v>
      </c>
      <c r="DB162" t="s">
        <v>118</v>
      </c>
      <c r="DC162">
        <v>118533</v>
      </c>
      <c r="DE162">
        <v>118533</v>
      </c>
      <c r="DF162">
        <f t="shared" si="2"/>
        <v>0</v>
      </c>
    </row>
    <row r="163" spans="1:113">
      <c r="A163" t="s">
        <v>1126</v>
      </c>
      <c r="B163" t="s">
        <v>1127</v>
      </c>
      <c r="C163" t="s">
        <v>158</v>
      </c>
      <c r="D163" t="s">
        <v>1110</v>
      </c>
      <c r="E163" t="s">
        <v>113</v>
      </c>
      <c r="F163" t="s">
        <v>114</v>
      </c>
      <c r="G163" t="s">
        <v>115</v>
      </c>
      <c r="H163" t="s">
        <v>113</v>
      </c>
      <c r="I163" t="s">
        <v>116</v>
      </c>
      <c r="J163" t="s">
        <v>117</v>
      </c>
      <c r="K163" t="s">
        <v>118</v>
      </c>
      <c r="L163" t="s">
        <v>118</v>
      </c>
      <c r="M163" t="s">
        <v>113</v>
      </c>
      <c r="N163" t="s">
        <v>118</v>
      </c>
      <c r="O163" t="s">
        <v>118</v>
      </c>
      <c r="P163" t="s">
        <v>117</v>
      </c>
      <c r="Q163" t="s">
        <v>117</v>
      </c>
      <c r="R163" t="s">
        <v>652</v>
      </c>
      <c r="S163" t="s">
        <v>169</v>
      </c>
      <c r="T163" t="s">
        <v>121</v>
      </c>
      <c r="U163" t="s">
        <v>122</v>
      </c>
      <c r="V163" t="s">
        <v>1128</v>
      </c>
      <c r="W163" t="s">
        <v>124</v>
      </c>
      <c r="X163" t="s">
        <v>1129</v>
      </c>
      <c r="Y163" t="s">
        <v>1130</v>
      </c>
      <c r="Z163">
        <v>76987</v>
      </c>
      <c r="AA163">
        <v>76987</v>
      </c>
      <c r="AB163">
        <v>0</v>
      </c>
      <c r="AC163">
        <v>30795</v>
      </c>
      <c r="AD163">
        <v>30795</v>
      </c>
      <c r="AE163">
        <v>0</v>
      </c>
      <c r="AF163">
        <v>8469</v>
      </c>
      <c r="AG163">
        <v>8469</v>
      </c>
      <c r="AH163">
        <v>0</v>
      </c>
      <c r="AI163">
        <v>0</v>
      </c>
      <c r="AJ163">
        <v>0</v>
      </c>
      <c r="AK163">
        <v>0</v>
      </c>
      <c r="AL163">
        <v>10000</v>
      </c>
      <c r="AM163">
        <v>10000</v>
      </c>
      <c r="AN163">
        <v>0</v>
      </c>
      <c r="AO163">
        <v>0</v>
      </c>
      <c r="AP163">
        <v>0</v>
      </c>
      <c r="AQ163">
        <v>0</v>
      </c>
      <c r="AR163">
        <v>64416</v>
      </c>
      <c r="AS163">
        <v>64416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190667</v>
      </c>
      <c r="BI163">
        <v>190667</v>
      </c>
      <c r="BJ163">
        <v>0</v>
      </c>
      <c r="BK163">
        <v>0</v>
      </c>
      <c r="BL163">
        <v>7114</v>
      </c>
      <c r="BM163">
        <v>200</v>
      </c>
      <c r="BN163">
        <v>0</v>
      </c>
      <c r="BO163">
        <v>0</v>
      </c>
      <c r="BP163">
        <v>1800</v>
      </c>
      <c r="BQ163">
        <v>0</v>
      </c>
      <c r="BR163">
        <v>1800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9114</v>
      </c>
      <c r="CZ163">
        <v>181553</v>
      </c>
      <c r="DA163" t="s">
        <v>118</v>
      </c>
      <c r="DB163" t="s">
        <v>118</v>
      </c>
      <c r="DC163">
        <v>181553</v>
      </c>
      <c r="DE163">
        <v>181554</v>
      </c>
      <c r="DF163">
        <f t="shared" si="2"/>
        <v>-1</v>
      </c>
    </row>
    <row r="164" spans="1:113">
      <c r="A164" t="s">
        <v>1131</v>
      </c>
      <c r="B164" t="s">
        <v>1132</v>
      </c>
      <c r="C164" t="s">
        <v>158</v>
      </c>
      <c r="D164" t="s">
        <v>1133</v>
      </c>
      <c r="E164" t="s">
        <v>113</v>
      </c>
      <c r="F164" t="s">
        <v>114</v>
      </c>
      <c r="G164" t="s">
        <v>115</v>
      </c>
      <c r="H164" t="s">
        <v>113</v>
      </c>
      <c r="I164" t="s">
        <v>116</v>
      </c>
      <c r="J164" t="s">
        <v>117</v>
      </c>
      <c r="K164" t="s">
        <v>118</v>
      </c>
      <c r="L164" t="s">
        <v>118</v>
      </c>
      <c r="M164" t="s">
        <v>113</v>
      </c>
      <c r="N164" t="s">
        <v>118</v>
      </c>
      <c r="O164" t="s">
        <v>118</v>
      </c>
      <c r="P164" t="s">
        <v>117</v>
      </c>
      <c r="Q164" t="s">
        <v>117</v>
      </c>
      <c r="R164" t="s">
        <v>652</v>
      </c>
      <c r="S164" t="s">
        <v>169</v>
      </c>
      <c r="T164" t="s">
        <v>121</v>
      </c>
      <c r="U164" t="s">
        <v>122</v>
      </c>
      <c r="V164" t="s">
        <v>1134</v>
      </c>
      <c r="W164" t="s">
        <v>135</v>
      </c>
      <c r="X164" t="s">
        <v>1135</v>
      </c>
      <c r="Y164" t="s">
        <v>1136</v>
      </c>
      <c r="Z164">
        <v>83222</v>
      </c>
      <c r="AA164">
        <v>83222</v>
      </c>
      <c r="AB164">
        <v>0</v>
      </c>
      <c r="AC164">
        <v>33289</v>
      </c>
      <c r="AD164">
        <v>33289</v>
      </c>
      <c r="AE164">
        <v>0</v>
      </c>
      <c r="AF164">
        <v>9154</v>
      </c>
      <c r="AG164">
        <v>9154</v>
      </c>
      <c r="AH164">
        <v>0</v>
      </c>
      <c r="AI164">
        <v>0</v>
      </c>
      <c r="AJ164">
        <v>0</v>
      </c>
      <c r="AK164">
        <v>0</v>
      </c>
      <c r="AL164">
        <v>10000</v>
      </c>
      <c r="AM164">
        <v>10000</v>
      </c>
      <c r="AN164">
        <v>0</v>
      </c>
      <c r="AO164">
        <v>0</v>
      </c>
      <c r="AP164">
        <v>0</v>
      </c>
      <c r="AQ164">
        <v>0</v>
      </c>
      <c r="AR164">
        <v>70589</v>
      </c>
      <c r="AS164">
        <v>70589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20000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20000</v>
      </c>
      <c r="BH164">
        <v>226254</v>
      </c>
      <c r="BI164">
        <v>226254</v>
      </c>
      <c r="BJ164">
        <v>0</v>
      </c>
      <c r="BK164">
        <v>0</v>
      </c>
      <c r="BL164">
        <v>13336</v>
      </c>
      <c r="BM164">
        <v>200</v>
      </c>
      <c r="BN164">
        <v>0</v>
      </c>
      <c r="BO164">
        <v>0</v>
      </c>
      <c r="BP164">
        <v>1800</v>
      </c>
      <c r="BQ164">
        <v>0</v>
      </c>
      <c r="BR164">
        <v>1800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15336</v>
      </c>
      <c r="CZ164">
        <v>210918</v>
      </c>
      <c r="DA164" t="s">
        <v>118</v>
      </c>
      <c r="DB164" t="s">
        <v>118</v>
      </c>
      <c r="DC164">
        <v>210918</v>
      </c>
      <c r="DE164">
        <v>212542</v>
      </c>
      <c r="DF164">
        <f t="shared" si="2"/>
        <v>-1624</v>
      </c>
      <c r="DG164" t="s">
        <v>1071</v>
      </c>
    </row>
    <row r="165" spans="1:113">
      <c r="A165" t="s">
        <v>1137</v>
      </c>
      <c r="B165" t="s">
        <v>1138</v>
      </c>
      <c r="C165" t="s">
        <v>158</v>
      </c>
      <c r="D165" t="s">
        <v>1139</v>
      </c>
      <c r="E165" t="s">
        <v>113</v>
      </c>
      <c r="F165" t="s">
        <v>114</v>
      </c>
      <c r="G165" t="s">
        <v>115</v>
      </c>
      <c r="H165" t="s">
        <v>113</v>
      </c>
      <c r="I165" t="s">
        <v>116</v>
      </c>
      <c r="J165" t="s">
        <v>117</v>
      </c>
      <c r="K165" t="s">
        <v>118</v>
      </c>
      <c r="L165" t="s">
        <v>118</v>
      </c>
      <c r="M165" t="s">
        <v>113</v>
      </c>
      <c r="N165" t="s">
        <v>118</v>
      </c>
      <c r="O165" t="s">
        <v>118</v>
      </c>
      <c r="P165" t="s">
        <v>117</v>
      </c>
      <c r="Q165" t="s">
        <v>117</v>
      </c>
      <c r="R165" t="s">
        <v>707</v>
      </c>
      <c r="S165" t="s">
        <v>182</v>
      </c>
      <c r="T165" t="s">
        <v>121</v>
      </c>
      <c r="U165" t="s">
        <v>122</v>
      </c>
      <c r="V165" t="s">
        <v>1140</v>
      </c>
      <c r="W165" t="s">
        <v>135</v>
      </c>
      <c r="X165" t="s">
        <v>846</v>
      </c>
      <c r="Y165" t="s">
        <v>1141</v>
      </c>
      <c r="Z165">
        <v>10448</v>
      </c>
      <c r="AA165">
        <v>10448</v>
      </c>
      <c r="AB165">
        <v>0</v>
      </c>
      <c r="AC165">
        <v>4179</v>
      </c>
      <c r="AD165">
        <v>4179</v>
      </c>
      <c r="AE165">
        <v>0</v>
      </c>
      <c r="AF165">
        <v>1149</v>
      </c>
      <c r="AG165">
        <v>1149</v>
      </c>
      <c r="AH165">
        <v>0</v>
      </c>
      <c r="AI165">
        <v>0</v>
      </c>
      <c r="AJ165">
        <v>0</v>
      </c>
      <c r="AK165">
        <v>0</v>
      </c>
      <c r="AL165">
        <v>2612</v>
      </c>
      <c r="AM165">
        <v>2612</v>
      </c>
      <c r="AN165">
        <v>0</v>
      </c>
      <c r="AO165">
        <v>0</v>
      </c>
      <c r="AP165">
        <v>0</v>
      </c>
      <c r="AQ165">
        <v>0</v>
      </c>
      <c r="AR165">
        <v>5932</v>
      </c>
      <c r="AS165">
        <v>5932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24320</v>
      </c>
      <c r="BI165">
        <v>24320</v>
      </c>
      <c r="BJ165">
        <v>0</v>
      </c>
      <c r="BK165">
        <v>0</v>
      </c>
      <c r="BL165">
        <v>0</v>
      </c>
      <c r="BM165">
        <v>200</v>
      </c>
      <c r="BN165">
        <v>0</v>
      </c>
      <c r="BO165">
        <v>0</v>
      </c>
      <c r="BP165">
        <v>1800</v>
      </c>
      <c r="BQ165">
        <v>0</v>
      </c>
      <c r="BR165">
        <v>1800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2000</v>
      </c>
      <c r="CZ165">
        <v>22320</v>
      </c>
      <c r="DA165" t="s">
        <v>118</v>
      </c>
      <c r="DB165" t="s">
        <v>118</v>
      </c>
      <c r="DC165">
        <v>22320</v>
      </c>
      <c r="DE165">
        <v>22320</v>
      </c>
      <c r="DF165">
        <f t="shared" si="2"/>
        <v>0</v>
      </c>
    </row>
    <row r="166" spans="1:113">
      <c r="A166" t="s">
        <v>1142</v>
      </c>
      <c r="B166" t="s">
        <v>1143</v>
      </c>
      <c r="C166" t="s">
        <v>182</v>
      </c>
      <c r="D166" t="s">
        <v>1144</v>
      </c>
      <c r="E166" t="s">
        <v>113</v>
      </c>
      <c r="F166" t="s">
        <v>114</v>
      </c>
      <c r="G166" t="s">
        <v>115</v>
      </c>
      <c r="H166" t="s">
        <v>113</v>
      </c>
      <c r="I166" t="s">
        <v>116</v>
      </c>
      <c r="J166" t="s">
        <v>117</v>
      </c>
      <c r="K166" t="s">
        <v>118</v>
      </c>
      <c r="L166" t="s">
        <v>118</v>
      </c>
      <c r="M166" t="s">
        <v>113</v>
      </c>
      <c r="N166" t="s">
        <v>118</v>
      </c>
      <c r="O166" t="s">
        <v>118</v>
      </c>
      <c r="P166" t="s">
        <v>117</v>
      </c>
      <c r="Q166" t="s">
        <v>117</v>
      </c>
      <c r="R166" t="s">
        <v>296</v>
      </c>
      <c r="S166" t="s">
        <v>182</v>
      </c>
      <c r="T166" t="s">
        <v>121</v>
      </c>
      <c r="U166" t="s">
        <v>122</v>
      </c>
      <c r="V166" t="s">
        <v>1145</v>
      </c>
      <c r="W166" t="s">
        <v>124</v>
      </c>
      <c r="X166" t="s">
        <v>917</v>
      </c>
      <c r="Y166" t="s">
        <v>1146</v>
      </c>
      <c r="Z166">
        <v>116667</v>
      </c>
      <c r="AA166">
        <v>116667</v>
      </c>
      <c r="AB166">
        <v>0</v>
      </c>
      <c r="AC166">
        <v>46667</v>
      </c>
      <c r="AD166">
        <v>46667</v>
      </c>
      <c r="AE166">
        <v>0</v>
      </c>
      <c r="AF166">
        <v>12833</v>
      </c>
      <c r="AG166">
        <v>12833</v>
      </c>
      <c r="AH166">
        <v>0</v>
      </c>
      <c r="AI166">
        <v>0</v>
      </c>
      <c r="AJ166">
        <v>0</v>
      </c>
      <c r="AK166">
        <v>0</v>
      </c>
      <c r="AL166">
        <v>10000</v>
      </c>
      <c r="AM166">
        <v>10000</v>
      </c>
      <c r="AN166">
        <v>0</v>
      </c>
      <c r="AO166">
        <v>0</v>
      </c>
      <c r="AP166">
        <v>0</v>
      </c>
      <c r="AQ166">
        <v>0</v>
      </c>
      <c r="AR166">
        <v>91500</v>
      </c>
      <c r="AS166">
        <v>91500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277667</v>
      </c>
      <c r="BI166">
        <v>277667</v>
      </c>
      <c r="BJ166">
        <v>0</v>
      </c>
      <c r="BK166">
        <v>0</v>
      </c>
      <c r="BL166">
        <v>23580</v>
      </c>
      <c r="BM166">
        <v>200</v>
      </c>
      <c r="BN166">
        <v>0</v>
      </c>
      <c r="BO166">
        <v>0</v>
      </c>
      <c r="BP166">
        <v>14000</v>
      </c>
      <c r="BQ166">
        <v>0</v>
      </c>
      <c r="BR166">
        <v>14000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37780</v>
      </c>
      <c r="CZ166">
        <v>239887</v>
      </c>
      <c r="DA166" t="s">
        <v>118</v>
      </c>
      <c r="DB166" t="s">
        <v>118</v>
      </c>
      <c r="DC166">
        <v>239887</v>
      </c>
      <c r="DE166">
        <v>239888</v>
      </c>
      <c r="DF166">
        <f t="shared" si="2"/>
        <v>-1</v>
      </c>
    </row>
    <row r="167" spans="1:113">
      <c r="A167" t="s">
        <v>1147</v>
      </c>
      <c r="B167" t="s">
        <v>1148</v>
      </c>
      <c r="C167" t="s">
        <v>158</v>
      </c>
      <c r="D167" t="s">
        <v>1149</v>
      </c>
      <c r="E167" t="s">
        <v>113</v>
      </c>
      <c r="F167" t="s">
        <v>114</v>
      </c>
      <c r="G167" t="s">
        <v>115</v>
      </c>
      <c r="H167" t="s">
        <v>113</v>
      </c>
      <c r="I167" t="s">
        <v>116</v>
      </c>
      <c r="J167" t="s">
        <v>117</v>
      </c>
      <c r="K167" t="s">
        <v>118</v>
      </c>
      <c r="L167" t="s">
        <v>118</v>
      </c>
      <c r="M167" t="s">
        <v>113</v>
      </c>
      <c r="N167" t="s">
        <v>118</v>
      </c>
      <c r="O167" t="s">
        <v>118</v>
      </c>
      <c r="P167" t="s">
        <v>117</v>
      </c>
      <c r="Q167" t="s">
        <v>117</v>
      </c>
      <c r="R167" t="s">
        <v>652</v>
      </c>
      <c r="S167" t="s">
        <v>169</v>
      </c>
      <c r="T167" t="s">
        <v>121</v>
      </c>
      <c r="U167" t="s">
        <v>122</v>
      </c>
      <c r="V167" t="s">
        <v>1150</v>
      </c>
      <c r="W167" t="s">
        <v>135</v>
      </c>
      <c r="X167" t="s">
        <v>1151</v>
      </c>
      <c r="Y167" t="s">
        <v>1152</v>
      </c>
      <c r="Z167">
        <v>65000</v>
      </c>
      <c r="AA167">
        <v>65000</v>
      </c>
      <c r="AB167">
        <v>0</v>
      </c>
      <c r="AC167">
        <v>26000</v>
      </c>
      <c r="AD167">
        <v>26000</v>
      </c>
      <c r="AE167">
        <v>0</v>
      </c>
      <c r="AF167">
        <v>7150</v>
      </c>
      <c r="AG167">
        <v>7150</v>
      </c>
      <c r="AH167">
        <v>0</v>
      </c>
      <c r="AI167">
        <v>0</v>
      </c>
      <c r="AJ167">
        <v>0</v>
      </c>
      <c r="AK167">
        <v>0</v>
      </c>
      <c r="AL167">
        <v>10000</v>
      </c>
      <c r="AM167">
        <v>10000</v>
      </c>
      <c r="AN167">
        <v>0</v>
      </c>
      <c r="AO167">
        <v>0</v>
      </c>
      <c r="AP167">
        <v>0</v>
      </c>
      <c r="AQ167">
        <v>0</v>
      </c>
      <c r="AR167">
        <v>52550</v>
      </c>
      <c r="AS167">
        <v>52550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160700</v>
      </c>
      <c r="BI167">
        <v>160700</v>
      </c>
      <c r="BJ167">
        <v>0</v>
      </c>
      <c r="BK167">
        <v>0</v>
      </c>
      <c r="BL167">
        <v>0</v>
      </c>
      <c r="BM167">
        <v>200</v>
      </c>
      <c r="BN167">
        <v>0</v>
      </c>
      <c r="BO167">
        <v>0</v>
      </c>
      <c r="BP167">
        <v>1800</v>
      </c>
      <c r="BQ167">
        <v>0</v>
      </c>
      <c r="BR167">
        <v>1800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2000</v>
      </c>
      <c r="CZ167">
        <v>158700</v>
      </c>
      <c r="DA167" t="s">
        <v>118</v>
      </c>
      <c r="DB167" t="s">
        <v>118</v>
      </c>
      <c r="DC167">
        <v>158700</v>
      </c>
      <c r="DE167">
        <v>158700</v>
      </c>
      <c r="DF167">
        <f t="shared" si="2"/>
        <v>0</v>
      </c>
    </row>
    <row r="168" spans="1:113">
      <c r="A168" t="s">
        <v>1153</v>
      </c>
      <c r="B168" s="3" t="s">
        <v>1154</v>
      </c>
      <c r="C168" t="s">
        <v>158</v>
      </c>
      <c r="D168" t="s">
        <v>1155</v>
      </c>
      <c r="E168" t="s">
        <v>113</v>
      </c>
      <c r="F168" t="s">
        <v>114</v>
      </c>
      <c r="G168" t="s">
        <v>115</v>
      </c>
      <c r="H168" t="s">
        <v>113</v>
      </c>
      <c r="I168" t="s">
        <v>116</v>
      </c>
      <c r="J168" t="s">
        <v>117</v>
      </c>
      <c r="K168" t="s">
        <v>118</v>
      </c>
      <c r="L168" t="s">
        <v>118</v>
      </c>
      <c r="M168" t="s">
        <v>113</v>
      </c>
      <c r="N168" t="s">
        <v>118</v>
      </c>
      <c r="O168" t="s">
        <v>118</v>
      </c>
      <c r="P168" t="s">
        <v>117</v>
      </c>
      <c r="Q168" t="s">
        <v>117</v>
      </c>
      <c r="R168" t="s">
        <v>1075</v>
      </c>
      <c r="S168" t="s">
        <v>169</v>
      </c>
      <c r="T168" t="s">
        <v>121</v>
      </c>
      <c r="U168" t="s">
        <v>122</v>
      </c>
      <c r="V168" t="s">
        <v>1156</v>
      </c>
      <c r="W168" t="s">
        <v>135</v>
      </c>
      <c r="X168" t="s">
        <v>1157</v>
      </c>
      <c r="Y168" t="s">
        <v>1158</v>
      </c>
      <c r="Z168">
        <v>89833</v>
      </c>
      <c r="AA168">
        <v>89833</v>
      </c>
      <c r="AB168">
        <v>0</v>
      </c>
      <c r="AC168">
        <v>35933</v>
      </c>
      <c r="AD168">
        <v>35933</v>
      </c>
      <c r="AE168">
        <v>0</v>
      </c>
      <c r="AF168">
        <v>9882</v>
      </c>
      <c r="AG168">
        <v>9882</v>
      </c>
      <c r="AH168">
        <v>0</v>
      </c>
      <c r="AI168">
        <v>0</v>
      </c>
      <c r="AJ168">
        <v>0</v>
      </c>
      <c r="AK168">
        <v>0</v>
      </c>
      <c r="AL168">
        <v>10000</v>
      </c>
      <c r="AM168">
        <v>10000</v>
      </c>
      <c r="AN168">
        <v>0</v>
      </c>
      <c r="AO168">
        <v>0</v>
      </c>
      <c r="AP168">
        <v>0</v>
      </c>
      <c r="AQ168">
        <v>0</v>
      </c>
      <c r="AR168">
        <v>77135</v>
      </c>
      <c r="AS168">
        <v>77135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222783</v>
      </c>
      <c r="BI168">
        <v>222783</v>
      </c>
      <c r="BJ168">
        <v>0</v>
      </c>
      <c r="BK168">
        <v>0</v>
      </c>
      <c r="BL168">
        <v>13118</v>
      </c>
      <c r="BM168">
        <v>200</v>
      </c>
      <c r="BN168">
        <v>0</v>
      </c>
      <c r="BO168">
        <v>0</v>
      </c>
      <c r="BP168">
        <v>1800</v>
      </c>
      <c r="BQ168">
        <v>0</v>
      </c>
      <c r="BR168">
        <v>1800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15118</v>
      </c>
      <c r="CZ168">
        <v>207665</v>
      </c>
      <c r="DA168" t="s">
        <v>118</v>
      </c>
      <c r="DB168" t="s">
        <v>118</v>
      </c>
      <c r="DC168">
        <v>207665</v>
      </c>
      <c r="DE168">
        <v>256938</v>
      </c>
      <c r="DF168">
        <f t="shared" si="2"/>
        <v>-49273</v>
      </c>
      <c r="DG168" t="s">
        <v>1159</v>
      </c>
    </row>
    <row r="169" spans="1:113">
      <c r="A169" t="s">
        <v>1160</v>
      </c>
      <c r="B169" s="3" t="s">
        <v>1161</v>
      </c>
      <c r="C169" t="s">
        <v>158</v>
      </c>
      <c r="D169" t="s">
        <v>1162</v>
      </c>
      <c r="E169" t="s">
        <v>113</v>
      </c>
      <c r="F169" t="s">
        <v>114</v>
      </c>
      <c r="G169" t="s">
        <v>115</v>
      </c>
      <c r="H169" t="s">
        <v>113</v>
      </c>
      <c r="I169" t="s">
        <v>116</v>
      </c>
      <c r="J169" t="s">
        <v>117</v>
      </c>
      <c r="K169" t="s">
        <v>118</v>
      </c>
      <c r="L169" t="s">
        <v>118</v>
      </c>
      <c r="M169" t="s">
        <v>113</v>
      </c>
      <c r="N169" t="s">
        <v>118</v>
      </c>
      <c r="O169" t="s">
        <v>118</v>
      </c>
      <c r="P169" t="s">
        <v>117</v>
      </c>
      <c r="Q169" t="s">
        <v>117</v>
      </c>
      <c r="R169" t="s">
        <v>652</v>
      </c>
      <c r="S169" t="s">
        <v>169</v>
      </c>
      <c r="T169" t="s">
        <v>121</v>
      </c>
      <c r="U169" t="s">
        <v>122</v>
      </c>
      <c r="V169" t="s">
        <v>1163</v>
      </c>
      <c r="W169" t="s">
        <v>1164</v>
      </c>
      <c r="X169" t="s">
        <v>1165</v>
      </c>
      <c r="Y169" t="s">
        <v>1166</v>
      </c>
      <c r="Z169">
        <v>78567</v>
      </c>
      <c r="AA169">
        <v>78567</v>
      </c>
      <c r="AB169">
        <v>0</v>
      </c>
      <c r="AC169">
        <v>31427</v>
      </c>
      <c r="AD169">
        <v>31427</v>
      </c>
      <c r="AE169">
        <v>0</v>
      </c>
      <c r="AF169">
        <v>8642</v>
      </c>
      <c r="AG169">
        <v>8642</v>
      </c>
      <c r="AH169">
        <v>0</v>
      </c>
      <c r="AI169">
        <v>0</v>
      </c>
      <c r="AJ169">
        <v>0</v>
      </c>
      <c r="AK169">
        <v>0</v>
      </c>
      <c r="AL169">
        <v>10000</v>
      </c>
      <c r="AM169">
        <v>10000</v>
      </c>
      <c r="AN169">
        <v>0</v>
      </c>
      <c r="AO169">
        <v>0</v>
      </c>
      <c r="AP169">
        <v>0</v>
      </c>
      <c r="AQ169">
        <v>0</v>
      </c>
      <c r="AR169">
        <v>58353</v>
      </c>
      <c r="AS169">
        <v>58353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19000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19000</v>
      </c>
      <c r="BH169">
        <v>205989</v>
      </c>
      <c r="BI169">
        <v>205989</v>
      </c>
      <c r="BJ169">
        <v>0</v>
      </c>
      <c r="BK169">
        <v>0</v>
      </c>
      <c r="BL169">
        <v>0</v>
      </c>
      <c r="BM169">
        <v>200</v>
      </c>
      <c r="BN169">
        <v>0</v>
      </c>
      <c r="BO169">
        <v>0</v>
      </c>
      <c r="BP169">
        <v>9428</v>
      </c>
      <c r="BQ169">
        <v>0</v>
      </c>
      <c r="BR169">
        <v>9428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9628</v>
      </c>
      <c r="CZ169">
        <v>196361</v>
      </c>
      <c r="DA169" t="s">
        <v>118</v>
      </c>
      <c r="DB169" t="s">
        <v>118</v>
      </c>
      <c r="DC169">
        <v>196361</v>
      </c>
      <c r="DE169">
        <v>249036</v>
      </c>
      <c r="DF169">
        <f t="shared" si="2"/>
        <v>-52675</v>
      </c>
      <c r="DG169" t="s">
        <v>1167</v>
      </c>
    </row>
    <row r="170" spans="1:113">
      <c r="A170" t="s">
        <v>1168</v>
      </c>
      <c r="B170" t="s">
        <v>1169</v>
      </c>
      <c r="C170" t="s">
        <v>1170</v>
      </c>
      <c r="D170" t="s">
        <v>1171</v>
      </c>
      <c r="E170" t="s">
        <v>113</v>
      </c>
      <c r="F170" t="s">
        <v>114</v>
      </c>
      <c r="G170" t="s">
        <v>115</v>
      </c>
      <c r="H170" t="s">
        <v>113</v>
      </c>
      <c r="I170" t="s">
        <v>116</v>
      </c>
      <c r="J170" t="s">
        <v>117</v>
      </c>
      <c r="K170" t="s">
        <v>118</v>
      </c>
      <c r="L170" t="s">
        <v>118</v>
      </c>
      <c r="M170" t="s">
        <v>113</v>
      </c>
      <c r="N170" t="s">
        <v>118</v>
      </c>
      <c r="O170" t="s">
        <v>118</v>
      </c>
      <c r="P170" t="s">
        <v>117</v>
      </c>
      <c r="Q170" t="s">
        <v>117</v>
      </c>
      <c r="R170" t="s">
        <v>1089</v>
      </c>
      <c r="S170" t="s">
        <v>169</v>
      </c>
      <c r="T170" t="s">
        <v>121</v>
      </c>
      <c r="U170" t="s">
        <v>122</v>
      </c>
      <c r="V170" t="s">
        <v>1172</v>
      </c>
      <c r="W170" t="s">
        <v>135</v>
      </c>
      <c r="X170" t="s">
        <v>1173</v>
      </c>
      <c r="Y170" t="s">
        <v>1174</v>
      </c>
      <c r="Z170">
        <v>67633</v>
      </c>
      <c r="AA170">
        <v>67633</v>
      </c>
      <c r="AB170">
        <v>0</v>
      </c>
      <c r="AC170">
        <v>27053</v>
      </c>
      <c r="AD170">
        <v>27053</v>
      </c>
      <c r="AE170">
        <v>0</v>
      </c>
      <c r="AF170">
        <v>7440</v>
      </c>
      <c r="AG170">
        <v>7440</v>
      </c>
      <c r="AH170">
        <v>0</v>
      </c>
      <c r="AI170">
        <v>0</v>
      </c>
      <c r="AJ170">
        <v>0</v>
      </c>
      <c r="AK170">
        <v>0</v>
      </c>
      <c r="AL170">
        <v>10000</v>
      </c>
      <c r="AM170">
        <v>10000</v>
      </c>
      <c r="AN170">
        <v>0</v>
      </c>
      <c r="AO170">
        <v>0</v>
      </c>
      <c r="AP170">
        <v>0</v>
      </c>
      <c r="AQ170">
        <v>0</v>
      </c>
      <c r="AR170">
        <v>55157</v>
      </c>
      <c r="AS170">
        <v>55157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167283</v>
      </c>
      <c r="BI170">
        <v>167283</v>
      </c>
      <c r="BJ170">
        <v>0</v>
      </c>
      <c r="BK170">
        <v>0</v>
      </c>
      <c r="BL170">
        <v>0</v>
      </c>
      <c r="BM170">
        <v>200</v>
      </c>
      <c r="BN170">
        <v>0</v>
      </c>
      <c r="BO170">
        <v>0</v>
      </c>
      <c r="BP170">
        <v>1800</v>
      </c>
      <c r="BQ170">
        <v>0</v>
      </c>
      <c r="BR170">
        <v>1800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2000</v>
      </c>
      <c r="CZ170">
        <v>165283</v>
      </c>
      <c r="DA170" t="s">
        <v>118</v>
      </c>
      <c r="DB170" t="s">
        <v>118</v>
      </c>
      <c r="DC170">
        <v>165283</v>
      </c>
      <c r="DE170">
        <v>138555</v>
      </c>
      <c r="DF170">
        <f t="shared" si="2"/>
        <v>26728</v>
      </c>
      <c r="DG170" t="s">
        <v>1175</v>
      </c>
      <c r="DI170" t="s">
        <v>1171</v>
      </c>
    </row>
    <row r="171" spans="1:113">
      <c r="A171" t="s">
        <v>1176</v>
      </c>
      <c r="B171" t="s">
        <v>1177</v>
      </c>
      <c r="C171" t="s">
        <v>1170</v>
      </c>
      <c r="D171" t="s">
        <v>1171</v>
      </c>
      <c r="E171" t="s">
        <v>113</v>
      </c>
      <c r="F171" t="s">
        <v>114</v>
      </c>
      <c r="G171" t="s">
        <v>115</v>
      </c>
      <c r="H171" t="s">
        <v>113</v>
      </c>
      <c r="I171" t="s">
        <v>116</v>
      </c>
      <c r="J171" t="s">
        <v>117</v>
      </c>
      <c r="K171" t="s">
        <v>118</v>
      </c>
      <c r="L171" t="s">
        <v>118</v>
      </c>
      <c r="M171" t="s">
        <v>113</v>
      </c>
      <c r="N171" t="s">
        <v>118</v>
      </c>
      <c r="O171" t="s">
        <v>118</v>
      </c>
      <c r="P171" t="s">
        <v>117</v>
      </c>
      <c r="Q171" t="s">
        <v>117</v>
      </c>
      <c r="R171" t="s">
        <v>652</v>
      </c>
      <c r="S171" t="s">
        <v>169</v>
      </c>
      <c r="T171" t="s">
        <v>121</v>
      </c>
      <c r="U171" t="s">
        <v>122</v>
      </c>
      <c r="V171" t="s">
        <v>1178</v>
      </c>
      <c r="W171" t="s">
        <v>135</v>
      </c>
      <c r="X171" t="s">
        <v>1179</v>
      </c>
      <c r="Y171" t="s">
        <v>1180</v>
      </c>
      <c r="Z171">
        <v>83333</v>
      </c>
      <c r="AA171">
        <v>83333</v>
      </c>
      <c r="AB171">
        <v>0</v>
      </c>
      <c r="AC171">
        <v>33333</v>
      </c>
      <c r="AD171">
        <v>33333</v>
      </c>
      <c r="AE171">
        <v>0</v>
      </c>
      <c r="AF171">
        <v>9167</v>
      </c>
      <c r="AG171">
        <v>9167</v>
      </c>
      <c r="AH171">
        <v>0</v>
      </c>
      <c r="AI171">
        <v>0</v>
      </c>
      <c r="AJ171">
        <v>0</v>
      </c>
      <c r="AK171">
        <v>0</v>
      </c>
      <c r="AL171">
        <v>10000</v>
      </c>
      <c r="AM171">
        <v>10000</v>
      </c>
      <c r="AN171">
        <v>0</v>
      </c>
      <c r="AO171">
        <v>0</v>
      </c>
      <c r="AP171">
        <v>0</v>
      </c>
      <c r="AQ171">
        <v>0</v>
      </c>
      <c r="AR171">
        <v>62500</v>
      </c>
      <c r="AS171">
        <v>62500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198333</v>
      </c>
      <c r="BI171">
        <v>198333</v>
      </c>
      <c r="BJ171">
        <v>0</v>
      </c>
      <c r="BK171">
        <v>0</v>
      </c>
      <c r="BL171">
        <v>0</v>
      </c>
      <c r="BM171">
        <v>200</v>
      </c>
      <c r="BN171">
        <v>0</v>
      </c>
      <c r="BO171">
        <v>0</v>
      </c>
      <c r="BP171">
        <v>10000</v>
      </c>
      <c r="BQ171">
        <v>0</v>
      </c>
      <c r="BR171">
        <v>10000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10200</v>
      </c>
      <c r="CZ171">
        <v>188133</v>
      </c>
      <c r="DA171" t="s">
        <v>118</v>
      </c>
      <c r="DB171" t="s">
        <v>118</v>
      </c>
      <c r="DC171">
        <v>188133</v>
      </c>
      <c r="DE171">
        <v>169300</v>
      </c>
      <c r="DF171">
        <f t="shared" si="2"/>
        <v>18833</v>
      </c>
      <c r="DG171" t="s">
        <v>1181</v>
      </c>
      <c r="DI171" t="s">
        <v>1171</v>
      </c>
    </row>
    <row r="172" spans="1:113">
      <c r="A172" t="s">
        <v>1182</v>
      </c>
      <c r="B172" t="s">
        <v>1183</v>
      </c>
      <c r="C172" t="s">
        <v>1170</v>
      </c>
      <c r="D172" t="s">
        <v>1184</v>
      </c>
      <c r="E172" t="s">
        <v>113</v>
      </c>
      <c r="F172" t="s">
        <v>114</v>
      </c>
      <c r="G172" t="s">
        <v>115</v>
      </c>
      <c r="H172" t="s">
        <v>113</v>
      </c>
      <c r="I172" t="s">
        <v>116</v>
      </c>
      <c r="J172" t="s">
        <v>117</v>
      </c>
      <c r="K172" t="s">
        <v>118</v>
      </c>
      <c r="L172" t="s">
        <v>118</v>
      </c>
      <c r="M172" t="s">
        <v>113</v>
      </c>
      <c r="N172" t="s">
        <v>118</v>
      </c>
      <c r="O172" t="s">
        <v>118</v>
      </c>
      <c r="P172" t="s">
        <v>117</v>
      </c>
      <c r="Q172" t="s">
        <v>117</v>
      </c>
      <c r="R172" t="s">
        <v>1102</v>
      </c>
      <c r="S172" t="s">
        <v>169</v>
      </c>
      <c r="T172" t="s">
        <v>121</v>
      </c>
      <c r="U172" t="s">
        <v>122</v>
      </c>
      <c r="V172" t="s">
        <v>1185</v>
      </c>
      <c r="W172" t="s">
        <v>1186</v>
      </c>
      <c r="X172" t="s">
        <v>1187</v>
      </c>
      <c r="Y172" t="s">
        <v>1188</v>
      </c>
      <c r="Z172">
        <v>94210</v>
      </c>
      <c r="AA172">
        <v>94210</v>
      </c>
      <c r="AB172">
        <v>0</v>
      </c>
      <c r="AC172">
        <v>37684</v>
      </c>
      <c r="AD172">
        <v>37684</v>
      </c>
      <c r="AE172">
        <v>0</v>
      </c>
      <c r="AF172">
        <v>10363</v>
      </c>
      <c r="AG172">
        <v>10363</v>
      </c>
      <c r="AH172">
        <v>0</v>
      </c>
      <c r="AI172">
        <v>0</v>
      </c>
      <c r="AJ172">
        <v>0</v>
      </c>
      <c r="AK172">
        <v>0</v>
      </c>
      <c r="AL172">
        <v>10000</v>
      </c>
      <c r="AM172">
        <v>10000</v>
      </c>
      <c r="AN172">
        <v>0</v>
      </c>
      <c r="AO172">
        <v>0</v>
      </c>
      <c r="AP172">
        <v>0</v>
      </c>
      <c r="AQ172">
        <v>0</v>
      </c>
      <c r="AR172">
        <v>81468</v>
      </c>
      <c r="AS172">
        <v>81468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19000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19000</v>
      </c>
      <c r="BH172">
        <v>252725</v>
      </c>
      <c r="BI172">
        <v>252725</v>
      </c>
      <c r="BJ172">
        <v>0</v>
      </c>
      <c r="BK172">
        <v>0</v>
      </c>
      <c r="BL172">
        <v>13095</v>
      </c>
      <c r="BM172">
        <v>200</v>
      </c>
      <c r="BN172">
        <v>0</v>
      </c>
      <c r="BO172">
        <v>0</v>
      </c>
      <c r="BP172">
        <v>1800</v>
      </c>
      <c r="BQ172">
        <v>0</v>
      </c>
      <c r="BR172">
        <v>1800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15095</v>
      </c>
      <c r="CZ172">
        <v>237630</v>
      </c>
      <c r="DA172" t="s">
        <v>118</v>
      </c>
      <c r="DB172" t="s">
        <v>118</v>
      </c>
      <c r="DC172">
        <v>237630</v>
      </c>
      <c r="DE172">
        <v>138104</v>
      </c>
      <c r="DF172">
        <f t="shared" si="2"/>
        <v>99526</v>
      </c>
      <c r="DG172" t="s">
        <v>1189</v>
      </c>
      <c r="DI172" t="s">
        <v>1184</v>
      </c>
    </row>
    <row r="173" spans="1:113">
      <c r="A173" t="s">
        <v>1190</v>
      </c>
      <c r="B173" t="s">
        <v>1191</v>
      </c>
      <c r="C173" t="s">
        <v>1170</v>
      </c>
      <c r="D173" t="s">
        <v>1192</v>
      </c>
      <c r="E173" t="s">
        <v>113</v>
      </c>
      <c r="F173" t="s">
        <v>114</v>
      </c>
      <c r="G173" t="s">
        <v>115</v>
      </c>
      <c r="H173" t="s">
        <v>113</v>
      </c>
      <c r="I173" t="s">
        <v>116</v>
      </c>
      <c r="J173" t="s">
        <v>117</v>
      </c>
      <c r="K173" t="s">
        <v>118</v>
      </c>
      <c r="L173" t="s">
        <v>118</v>
      </c>
      <c r="M173" t="s">
        <v>113</v>
      </c>
      <c r="N173" t="s">
        <v>118</v>
      </c>
      <c r="O173" t="s">
        <v>118</v>
      </c>
      <c r="P173" t="s">
        <v>117</v>
      </c>
      <c r="Q173" t="s">
        <v>117</v>
      </c>
      <c r="R173" t="s">
        <v>652</v>
      </c>
      <c r="S173" t="s">
        <v>169</v>
      </c>
      <c r="T173" t="s">
        <v>121</v>
      </c>
      <c r="U173" t="s">
        <v>122</v>
      </c>
      <c r="V173" t="s">
        <v>1193</v>
      </c>
      <c r="W173" t="s">
        <v>124</v>
      </c>
      <c r="X173" t="s">
        <v>1194</v>
      </c>
      <c r="Y173" t="s">
        <v>1195</v>
      </c>
      <c r="Z173">
        <v>103271</v>
      </c>
      <c r="AA173">
        <v>103271</v>
      </c>
      <c r="AB173">
        <v>0</v>
      </c>
      <c r="AC173">
        <v>41308</v>
      </c>
      <c r="AD173">
        <v>41308</v>
      </c>
      <c r="AE173">
        <v>0</v>
      </c>
      <c r="AF173">
        <v>11360</v>
      </c>
      <c r="AG173">
        <v>11360</v>
      </c>
      <c r="AH173">
        <v>0</v>
      </c>
      <c r="AI173">
        <v>0</v>
      </c>
      <c r="AJ173">
        <v>0</v>
      </c>
      <c r="AK173">
        <v>0</v>
      </c>
      <c r="AL173">
        <v>10000</v>
      </c>
      <c r="AM173">
        <v>10000</v>
      </c>
      <c r="AN173">
        <v>0</v>
      </c>
      <c r="AO173">
        <v>0</v>
      </c>
      <c r="AP173">
        <v>0</v>
      </c>
      <c r="AQ173">
        <v>0</v>
      </c>
      <c r="AR173">
        <v>90438</v>
      </c>
      <c r="AS173">
        <v>90438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256377</v>
      </c>
      <c r="BI173">
        <v>256377</v>
      </c>
      <c r="BJ173">
        <v>0</v>
      </c>
      <c r="BK173">
        <v>0</v>
      </c>
      <c r="BL173">
        <v>17083</v>
      </c>
      <c r="BM173">
        <v>200</v>
      </c>
      <c r="BN173">
        <v>0</v>
      </c>
      <c r="BO173">
        <v>0</v>
      </c>
      <c r="BP173">
        <v>1800</v>
      </c>
      <c r="BQ173">
        <v>0</v>
      </c>
      <c r="BR173">
        <v>1800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19083</v>
      </c>
      <c r="CZ173">
        <v>237294</v>
      </c>
      <c r="DA173" t="s">
        <v>118</v>
      </c>
      <c r="DB173" t="s">
        <v>118</v>
      </c>
      <c r="DC173">
        <v>237294</v>
      </c>
      <c r="DE173">
        <v>177536</v>
      </c>
      <c r="DF173">
        <f t="shared" si="2"/>
        <v>59758</v>
      </c>
      <c r="DG173" t="s">
        <v>1181</v>
      </c>
      <c r="DI173" t="s">
        <v>1192</v>
      </c>
    </row>
    <row r="174" spans="1:113" s="5" customFormat="1">
      <c r="A174" s="5" t="s">
        <v>1196</v>
      </c>
      <c r="B174" s="6" t="s">
        <v>1197</v>
      </c>
      <c r="C174" t="s">
        <v>1170</v>
      </c>
      <c r="D174" s="5" t="s">
        <v>1198</v>
      </c>
      <c r="E174" s="5" t="s">
        <v>113</v>
      </c>
      <c r="F174" s="5" t="s">
        <v>114</v>
      </c>
      <c r="G174" s="5" t="s">
        <v>115</v>
      </c>
      <c r="H174" s="5" t="s">
        <v>113</v>
      </c>
      <c r="I174" s="5" t="s">
        <v>116</v>
      </c>
      <c r="J174" s="5" t="s">
        <v>117</v>
      </c>
      <c r="K174" s="5" t="s">
        <v>118</v>
      </c>
      <c r="L174" s="5" t="s">
        <v>118</v>
      </c>
      <c r="M174" s="5" t="s">
        <v>113</v>
      </c>
      <c r="N174" s="5" t="s">
        <v>118</v>
      </c>
      <c r="O174" s="5" t="s">
        <v>118</v>
      </c>
      <c r="P174" s="5" t="s">
        <v>672</v>
      </c>
      <c r="Q174" s="5" t="s">
        <v>672</v>
      </c>
      <c r="R174" s="5" t="s">
        <v>1199</v>
      </c>
      <c r="S174" s="5" t="s">
        <v>169</v>
      </c>
      <c r="T174" s="5" t="s">
        <v>121</v>
      </c>
      <c r="U174" s="5" t="s">
        <v>122</v>
      </c>
      <c r="V174" s="5" t="s">
        <v>1200</v>
      </c>
      <c r="W174" s="5" t="s">
        <v>135</v>
      </c>
      <c r="X174" s="5" t="s">
        <v>1201</v>
      </c>
      <c r="Y174" s="5" t="s">
        <v>1202</v>
      </c>
      <c r="Z174" s="5">
        <v>12083</v>
      </c>
      <c r="AA174" s="5">
        <v>11693</v>
      </c>
      <c r="AB174" s="5">
        <v>0</v>
      </c>
      <c r="AC174" s="5">
        <v>4833</v>
      </c>
      <c r="AD174" s="5">
        <v>4677</v>
      </c>
      <c r="AE174" s="5">
        <v>0</v>
      </c>
      <c r="AF174" s="5">
        <v>1329</v>
      </c>
      <c r="AG174" s="5">
        <v>1286</v>
      </c>
      <c r="AH174" s="5">
        <v>0</v>
      </c>
      <c r="AI174" s="5">
        <v>0</v>
      </c>
      <c r="AJ174" s="5">
        <v>0</v>
      </c>
      <c r="AK174" s="5">
        <v>0</v>
      </c>
      <c r="AL174" s="5">
        <v>3021</v>
      </c>
      <c r="AM174" s="5">
        <v>2924</v>
      </c>
      <c r="AN174" s="5">
        <v>0</v>
      </c>
      <c r="AO174" s="5">
        <v>0</v>
      </c>
      <c r="AP174" s="5">
        <v>0</v>
      </c>
      <c r="AQ174" s="5">
        <v>0</v>
      </c>
      <c r="AR174" s="5">
        <v>7142</v>
      </c>
      <c r="AS174" s="5">
        <v>6912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27492</v>
      </c>
      <c r="BI174" s="5">
        <v>27492</v>
      </c>
      <c r="BJ174" s="5">
        <v>0</v>
      </c>
      <c r="BK174" s="5">
        <v>0</v>
      </c>
      <c r="BL174" s="5">
        <v>0</v>
      </c>
      <c r="BM174" s="5">
        <v>200</v>
      </c>
      <c r="BN174" s="5">
        <v>0</v>
      </c>
      <c r="BO174" s="5">
        <v>0</v>
      </c>
      <c r="BP174" s="5">
        <v>1800</v>
      </c>
      <c r="BQ174" s="5">
        <v>0</v>
      </c>
      <c r="BR174" s="5">
        <v>1800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2000</v>
      </c>
      <c r="CZ174" s="5">
        <v>25492</v>
      </c>
      <c r="DA174" s="5" t="s">
        <v>118</v>
      </c>
      <c r="DB174" s="5" t="s">
        <v>118</v>
      </c>
      <c r="DC174" s="5">
        <v>25492</v>
      </c>
      <c r="DE174" s="5" t="e">
        <v>#N/A</v>
      </c>
      <c r="DF174" s="5" t="e">
        <f t="shared" si="2"/>
        <v>#N/A</v>
      </c>
      <c r="DG174" s="5" t="s">
        <v>1203</v>
      </c>
    </row>
    <row r="175" spans="1:113" s="5" customFormat="1">
      <c r="A175" s="5" t="s">
        <v>1204</v>
      </c>
      <c r="B175" s="6" t="s">
        <v>1205</v>
      </c>
      <c r="C175" t="s">
        <v>242</v>
      </c>
      <c r="D175" s="5" t="s">
        <v>1198</v>
      </c>
      <c r="E175" s="5" t="s">
        <v>113</v>
      </c>
      <c r="F175" s="5" t="s">
        <v>114</v>
      </c>
      <c r="G175" s="5" t="s">
        <v>115</v>
      </c>
      <c r="H175" s="5" t="s">
        <v>113</v>
      </c>
      <c r="I175" s="5" t="s">
        <v>116</v>
      </c>
      <c r="J175" s="5" t="s">
        <v>117</v>
      </c>
      <c r="K175" s="5" t="s">
        <v>118</v>
      </c>
      <c r="L175" s="5" t="s">
        <v>118</v>
      </c>
      <c r="M175" s="5" t="s">
        <v>113</v>
      </c>
      <c r="N175" s="5" t="s">
        <v>118</v>
      </c>
      <c r="O175" s="5" t="s">
        <v>118</v>
      </c>
      <c r="P175" s="5" t="s">
        <v>672</v>
      </c>
      <c r="Q175" s="5" t="s">
        <v>672</v>
      </c>
      <c r="R175" s="5" t="s">
        <v>1206</v>
      </c>
      <c r="S175" s="5" t="s">
        <v>169</v>
      </c>
      <c r="T175" s="5" t="s">
        <v>121</v>
      </c>
      <c r="U175" s="5" t="s">
        <v>122</v>
      </c>
      <c r="V175" s="5" t="s">
        <v>1207</v>
      </c>
      <c r="W175" s="5" t="s">
        <v>135</v>
      </c>
      <c r="X175" s="5" t="s">
        <v>1208</v>
      </c>
      <c r="Y175" s="5" t="s">
        <v>1209</v>
      </c>
      <c r="Z175" s="5">
        <v>162167</v>
      </c>
      <c r="AA175" s="5">
        <v>156936</v>
      </c>
      <c r="AB175" s="5">
        <v>0</v>
      </c>
      <c r="AC175" s="5">
        <v>64867</v>
      </c>
      <c r="AD175" s="5">
        <v>62775</v>
      </c>
      <c r="AE175" s="5">
        <v>0</v>
      </c>
      <c r="AF175" s="5">
        <v>17838</v>
      </c>
      <c r="AG175" s="5">
        <v>17263</v>
      </c>
      <c r="AH175" s="5">
        <v>0</v>
      </c>
      <c r="AI175" s="5">
        <v>0</v>
      </c>
      <c r="AJ175" s="5">
        <v>0</v>
      </c>
      <c r="AK175" s="5">
        <v>0</v>
      </c>
      <c r="AL175" s="5">
        <v>10000</v>
      </c>
      <c r="AM175" s="5">
        <v>9677</v>
      </c>
      <c r="AN175" s="5">
        <v>0</v>
      </c>
      <c r="AO175" s="5">
        <v>0</v>
      </c>
      <c r="AP175" s="5">
        <v>0</v>
      </c>
      <c r="AQ175" s="5">
        <v>0</v>
      </c>
      <c r="AR175" s="5">
        <v>148745</v>
      </c>
      <c r="AS175" s="5">
        <v>143947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390598</v>
      </c>
      <c r="BI175" s="5">
        <v>390598</v>
      </c>
      <c r="BJ175" s="5">
        <v>0</v>
      </c>
      <c r="BK175" s="5">
        <v>0</v>
      </c>
      <c r="BL175" s="5">
        <v>37443</v>
      </c>
      <c r="BM175" s="5">
        <v>200</v>
      </c>
      <c r="BN175" s="5">
        <v>0</v>
      </c>
      <c r="BO175" s="5">
        <v>0</v>
      </c>
      <c r="BP175" s="5">
        <v>1800</v>
      </c>
      <c r="BQ175" s="5">
        <v>0</v>
      </c>
      <c r="BR175" s="5">
        <v>1800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11815</v>
      </c>
      <c r="CW175" s="5">
        <v>11815</v>
      </c>
      <c r="CX175" s="5">
        <v>0</v>
      </c>
      <c r="CY175" s="5">
        <v>51258</v>
      </c>
      <c r="CZ175" s="5">
        <v>339340</v>
      </c>
      <c r="DA175" s="5" t="s">
        <v>118</v>
      </c>
      <c r="DB175" s="5" t="s">
        <v>118</v>
      </c>
      <c r="DC175" s="5">
        <v>339340</v>
      </c>
      <c r="DE175" s="5" t="e">
        <v>#N/A</v>
      </c>
      <c r="DF175" s="5" t="e">
        <f t="shared" si="2"/>
        <v>#N/A</v>
      </c>
      <c r="DG175" s="5" t="s">
        <v>1203</v>
      </c>
    </row>
    <row r="176" spans="1:113" s="5" customFormat="1">
      <c r="A176" s="5" t="s">
        <v>1210</v>
      </c>
      <c r="B176" s="6" t="s">
        <v>1211</v>
      </c>
      <c r="C176" t="s">
        <v>1170</v>
      </c>
      <c r="D176" s="5" t="s">
        <v>1212</v>
      </c>
      <c r="E176" s="5" t="s">
        <v>113</v>
      </c>
      <c r="F176" s="5" t="s">
        <v>114</v>
      </c>
      <c r="G176" s="5" t="s">
        <v>115</v>
      </c>
      <c r="H176" s="5" t="s">
        <v>113</v>
      </c>
      <c r="I176" s="5" t="s">
        <v>116</v>
      </c>
      <c r="J176" s="5" t="s">
        <v>117</v>
      </c>
      <c r="K176" s="5" t="s">
        <v>118</v>
      </c>
      <c r="L176" s="5" t="s">
        <v>118</v>
      </c>
      <c r="M176" s="5" t="s">
        <v>113</v>
      </c>
      <c r="N176" s="5" t="s">
        <v>118</v>
      </c>
      <c r="O176" s="5" t="s">
        <v>118</v>
      </c>
      <c r="P176" s="5" t="s">
        <v>1213</v>
      </c>
      <c r="Q176" s="5" t="s">
        <v>1213</v>
      </c>
      <c r="R176" s="5" t="s">
        <v>1214</v>
      </c>
      <c r="S176" s="5" t="s">
        <v>169</v>
      </c>
      <c r="T176" s="5" t="s">
        <v>121</v>
      </c>
      <c r="U176" s="5" t="s">
        <v>122</v>
      </c>
      <c r="V176" s="5" t="s">
        <v>1215</v>
      </c>
      <c r="W176" s="5" t="s">
        <v>135</v>
      </c>
      <c r="X176" s="5" t="s">
        <v>1216</v>
      </c>
      <c r="Y176" s="5" t="s">
        <v>1217</v>
      </c>
      <c r="Z176" s="5">
        <v>100263</v>
      </c>
      <c r="AA176" s="5">
        <v>90560</v>
      </c>
      <c r="AB176" s="5">
        <v>0</v>
      </c>
      <c r="AC176" s="5">
        <v>40105</v>
      </c>
      <c r="AD176" s="5">
        <v>36224</v>
      </c>
      <c r="AE176" s="5">
        <v>0</v>
      </c>
      <c r="AF176" s="5">
        <v>11029</v>
      </c>
      <c r="AG176" s="5">
        <v>9962</v>
      </c>
      <c r="AH176" s="5">
        <v>0</v>
      </c>
      <c r="AI176" s="5">
        <v>0</v>
      </c>
      <c r="AJ176" s="5">
        <v>0</v>
      </c>
      <c r="AK176" s="5">
        <v>0</v>
      </c>
      <c r="AL176" s="5">
        <v>10000</v>
      </c>
      <c r="AM176" s="5">
        <v>9032</v>
      </c>
      <c r="AN176" s="5">
        <v>0</v>
      </c>
      <c r="AO176" s="5">
        <v>0</v>
      </c>
      <c r="AP176" s="5">
        <v>0</v>
      </c>
      <c r="AQ176" s="5">
        <v>0</v>
      </c>
      <c r="AR176" s="5">
        <v>77228</v>
      </c>
      <c r="AS176" s="5">
        <v>69754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215532</v>
      </c>
      <c r="BI176" s="5">
        <v>215532</v>
      </c>
      <c r="BJ176" s="5">
        <v>0</v>
      </c>
      <c r="BK176" s="5">
        <v>0</v>
      </c>
      <c r="BL176" s="5">
        <v>0</v>
      </c>
      <c r="BM176" s="5">
        <v>200</v>
      </c>
      <c r="BN176" s="5">
        <v>0</v>
      </c>
      <c r="BO176" s="5">
        <v>0</v>
      </c>
      <c r="BP176" s="5">
        <v>10867</v>
      </c>
      <c r="BQ176" s="5">
        <v>0</v>
      </c>
      <c r="BR176" s="5">
        <v>10867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11067</v>
      </c>
      <c r="CZ176" s="5">
        <v>204465</v>
      </c>
      <c r="DA176" s="5" t="s">
        <v>118</v>
      </c>
      <c r="DB176" s="5" t="s">
        <v>118</v>
      </c>
      <c r="DC176" s="5">
        <v>204465</v>
      </c>
      <c r="DE176" s="5" t="e">
        <v>#N/A</v>
      </c>
      <c r="DF176" s="5" t="e">
        <f t="shared" si="2"/>
        <v>#N/A</v>
      </c>
      <c r="DG176" s="5" t="s">
        <v>1203</v>
      </c>
    </row>
    <row r="177" spans="1:111" s="5" customFormat="1">
      <c r="A177" s="5" t="s">
        <v>1218</v>
      </c>
      <c r="B177" s="6" t="s">
        <v>1219</v>
      </c>
      <c r="C177" t="s">
        <v>1170</v>
      </c>
      <c r="D177" s="5" t="s">
        <v>1220</v>
      </c>
      <c r="E177" s="5" t="s">
        <v>113</v>
      </c>
      <c r="F177" s="5" t="s">
        <v>114</v>
      </c>
      <c r="G177" s="5" t="s">
        <v>115</v>
      </c>
      <c r="H177" s="5" t="s">
        <v>113</v>
      </c>
      <c r="I177" s="5" t="s">
        <v>116</v>
      </c>
      <c r="J177" s="5" t="s">
        <v>117</v>
      </c>
      <c r="K177" s="5" t="s">
        <v>118</v>
      </c>
      <c r="L177" s="5" t="s">
        <v>118</v>
      </c>
      <c r="M177" s="5" t="s">
        <v>113</v>
      </c>
      <c r="N177" s="5" t="s">
        <v>118</v>
      </c>
      <c r="O177" s="5" t="s">
        <v>118</v>
      </c>
      <c r="P177" s="5" t="s">
        <v>1221</v>
      </c>
      <c r="Q177" s="5" t="s">
        <v>1221</v>
      </c>
      <c r="R177" s="5" t="s">
        <v>652</v>
      </c>
      <c r="S177" s="5" t="s">
        <v>169</v>
      </c>
      <c r="T177" s="5" t="s">
        <v>121</v>
      </c>
      <c r="U177" s="5" t="s">
        <v>122</v>
      </c>
      <c r="V177" s="5" t="s">
        <v>1222</v>
      </c>
      <c r="W177" s="5" t="s">
        <v>135</v>
      </c>
      <c r="X177" s="5" t="s">
        <v>1223</v>
      </c>
      <c r="Y177" s="5" t="s">
        <v>1224</v>
      </c>
      <c r="Z177" s="5">
        <v>64667</v>
      </c>
      <c r="AA177" s="5">
        <v>47979</v>
      </c>
      <c r="AB177" s="5">
        <v>0</v>
      </c>
      <c r="AC177" s="5">
        <v>25867</v>
      </c>
      <c r="AD177" s="5">
        <v>19192</v>
      </c>
      <c r="AE177" s="5">
        <v>0</v>
      </c>
      <c r="AF177" s="5">
        <v>7113</v>
      </c>
      <c r="AG177" s="5">
        <v>5277</v>
      </c>
      <c r="AH177" s="5">
        <v>0</v>
      </c>
      <c r="AI177" s="5">
        <v>0</v>
      </c>
      <c r="AJ177" s="5">
        <v>0</v>
      </c>
      <c r="AK177" s="5">
        <v>0</v>
      </c>
      <c r="AL177" s="5">
        <v>10000</v>
      </c>
      <c r="AM177" s="5">
        <v>7419</v>
      </c>
      <c r="AN177" s="5">
        <v>0</v>
      </c>
      <c r="AO177" s="5">
        <v>0</v>
      </c>
      <c r="AP177" s="5">
        <v>0</v>
      </c>
      <c r="AQ177" s="5">
        <v>0</v>
      </c>
      <c r="AR177" s="5">
        <v>52220</v>
      </c>
      <c r="AS177" s="5">
        <v>38744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118611</v>
      </c>
      <c r="BI177" s="5">
        <v>118611</v>
      </c>
      <c r="BJ177" s="5">
        <v>0</v>
      </c>
      <c r="BK177" s="5">
        <v>0</v>
      </c>
      <c r="BL177" s="5">
        <v>0</v>
      </c>
      <c r="BM177" s="5">
        <v>200</v>
      </c>
      <c r="BN177" s="5">
        <v>0</v>
      </c>
      <c r="BO177" s="5">
        <v>0</v>
      </c>
      <c r="BP177" s="5">
        <v>1800</v>
      </c>
      <c r="BQ177" s="5">
        <v>0</v>
      </c>
      <c r="BR177" s="5">
        <v>1800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10000</v>
      </c>
      <c r="CW177" s="5">
        <v>10000</v>
      </c>
      <c r="CX177" s="5">
        <v>0</v>
      </c>
      <c r="CY177" s="5">
        <v>12000</v>
      </c>
      <c r="CZ177" s="5">
        <v>106611</v>
      </c>
      <c r="DA177" s="5" t="s">
        <v>118</v>
      </c>
      <c r="DB177" s="5" t="s">
        <v>118</v>
      </c>
      <c r="DC177" s="5">
        <v>106611</v>
      </c>
      <c r="DE177" s="5" t="e">
        <v>#N/A</v>
      </c>
      <c r="DF177" s="5" t="e">
        <f t="shared" si="2"/>
        <v>#N/A</v>
      </c>
      <c r="DG177" s="5" t="s">
        <v>1203</v>
      </c>
    </row>
    <row r="178" spans="1:111" s="5" customFormat="1">
      <c r="A178" s="5" t="s">
        <v>1225</v>
      </c>
      <c r="B178" s="6" t="s">
        <v>1226</v>
      </c>
      <c r="C178" t="s">
        <v>1170</v>
      </c>
      <c r="D178" s="5" t="s">
        <v>1227</v>
      </c>
      <c r="E178" s="5" t="s">
        <v>113</v>
      </c>
      <c r="F178" s="5" t="s">
        <v>114</v>
      </c>
      <c r="G178" s="5" t="s">
        <v>115</v>
      </c>
      <c r="H178" s="5" t="s">
        <v>113</v>
      </c>
      <c r="I178" s="5" t="s">
        <v>116</v>
      </c>
      <c r="J178" s="5" t="s">
        <v>117</v>
      </c>
      <c r="K178" s="5" t="s">
        <v>118</v>
      </c>
      <c r="L178" s="5" t="s">
        <v>118</v>
      </c>
      <c r="M178" s="5" t="s">
        <v>113</v>
      </c>
      <c r="N178" s="5" t="s">
        <v>118</v>
      </c>
      <c r="O178" s="5" t="s">
        <v>118</v>
      </c>
      <c r="P178" s="5" t="s">
        <v>1228</v>
      </c>
      <c r="Q178" s="5" t="s">
        <v>1228</v>
      </c>
      <c r="R178" s="5" t="s">
        <v>652</v>
      </c>
      <c r="S178" s="5" t="s">
        <v>169</v>
      </c>
      <c r="T178" s="5" t="s">
        <v>121</v>
      </c>
      <c r="U178" s="5" t="s">
        <v>122</v>
      </c>
      <c r="V178" s="5" t="s">
        <v>1229</v>
      </c>
      <c r="W178" s="5" t="s">
        <v>135</v>
      </c>
      <c r="X178" s="5" t="s">
        <v>1230</v>
      </c>
      <c r="Y178" s="5" t="s">
        <v>1231</v>
      </c>
      <c r="Z178" s="5">
        <v>56723</v>
      </c>
      <c r="AA178" s="5">
        <v>38425</v>
      </c>
      <c r="AB178" s="5">
        <v>0</v>
      </c>
      <c r="AC178" s="5">
        <v>22689</v>
      </c>
      <c r="AD178" s="5">
        <v>15370</v>
      </c>
      <c r="AE178" s="5">
        <v>0</v>
      </c>
      <c r="AF178" s="5">
        <v>6240</v>
      </c>
      <c r="AG178" s="5">
        <v>4227</v>
      </c>
      <c r="AH178" s="5">
        <v>0</v>
      </c>
      <c r="AI178" s="5">
        <v>0</v>
      </c>
      <c r="AJ178" s="5">
        <v>0</v>
      </c>
      <c r="AK178" s="5">
        <v>0</v>
      </c>
      <c r="AL178" s="5">
        <v>10000</v>
      </c>
      <c r="AM178" s="5">
        <v>6774</v>
      </c>
      <c r="AN178" s="5">
        <v>0</v>
      </c>
      <c r="AO178" s="5">
        <v>0</v>
      </c>
      <c r="AP178" s="5">
        <v>0</v>
      </c>
      <c r="AQ178" s="5">
        <v>0</v>
      </c>
      <c r="AR178" s="5">
        <v>44356</v>
      </c>
      <c r="AS178" s="5">
        <v>30048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94844</v>
      </c>
      <c r="BI178" s="5">
        <v>94844</v>
      </c>
      <c r="BJ178" s="5">
        <v>0</v>
      </c>
      <c r="BK178" s="5">
        <v>0</v>
      </c>
      <c r="BL178" s="5">
        <v>0</v>
      </c>
      <c r="BM178" s="5">
        <v>200</v>
      </c>
      <c r="BN178" s="5">
        <v>0</v>
      </c>
      <c r="BO178" s="5">
        <v>0</v>
      </c>
      <c r="BP178" s="5">
        <v>1800</v>
      </c>
      <c r="BQ178" s="5">
        <v>0</v>
      </c>
      <c r="BR178" s="5">
        <v>1800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2000</v>
      </c>
      <c r="CZ178" s="5">
        <v>92844</v>
      </c>
      <c r="DA178" s="5" t="s">
        <v>118</v>
      </c>
      <c r="DB178" s="5" t="s">
        <v>118</v>
      </c>
      <c r="DC178" s="5">
        <v>92844</v>
      </c>
      <c r="DE178" s="5" t="e">
        <v>#N/A</v>
      </c>
      <c r="DF178" s="5" t="e">
        <f t="shared" si="2"/>
        <v>#N/A</v>
      </c>
      <c r="DG178" s="5" t="s">
        <v>1203</v>
      </c>
    </row>
    <row r="179" spans="1:111" s="5" customFormat="1">
      <c r="A179" s="5" t="s">
        <v>1232</v>
      </c>
      <c r="B179" s="6" t="s">
        <v>1233</v>
      </c>
      <c r="C179" t="s">
        <v>1170</v>
      </c>
      <c r="D179" s="5" t="s">
        <v>1234</v>
      </c>
      <c r="E179" s="5" t="s">
        <v>113</v>
      </c>
      <c r="F179" s="5" t="s">
        <v>114</v>
      </c>
      <c r="G179" s="5" t="s">
        <v>115</v>
      </c>
      <c r="H179" s="5" t="s">
        <v>113</v>
      </c>
      <c r="I179" s="5" t="s">
        <v>116</v>
      </c>
      <c r="J179" s="5" t="s">
        <v>117</v>
      </c>
      <c r="K179" s="5" t="s">
        <v>118</v>
      </c>
      <c r="L179" s="5" t="s">
        <v>118</v>
      </c>
      <c r="M179" s="5" t="s">
        <v>113</v>
      </c>
      <c r="N179" s="5" t="s">
        <v>118</v>
      </c>
      <c r="O179" s="5" t="s">
        <v>118</v>
      </c>
      <c r="P179" s="5" t="s">
        <v>1235</v>
      </c>
      <c r="Q179" s="5" t="s">
        <v>1235</v>
      </c>
      <c r="R179" s="5" t="s">
        <v>652</v>
      </c>
      <c r="S179" s="5" t="s">
        <v>169</v>
      </c>
      <c r="T179" s="5" t="s">
        <v>121</v>
      </c>
      <c r="U179" s="5" t="s">
        <v>122</v>
      </c>
      <c r="V179" s="5" t="s">
        <v>1236</v>
      </c>
      <c r="W179" s="5" t="s">
        <v>135</v>
      </c>
      <c r="X179" s="5" t="s">
        <v>1237</v>
      </c>
      <c r="Y179" s="5" t="s">
        <v>1238</v>
      </c>
      <c r="Z179" s="5">
        <v>71000</v>
      </c>
      <c r="AA179" s="5">
        <v>27484</v>
      </c>
      <c r="AB179" s="5">
        <v>0</v>
      </c>
      <c r="AC179" s="5">
        <v>28400</v>
      </c>
      <c r="AD179" s="5">
        <v>10994</v>
      </c>
      <c r="AE179" s="5">
        <v>0</v>
      </c>
      <c r="AF179" s="5">
        <v>7810</v>
      </c>
      <c r="AG179" s="5">
        <v>3023</v>
      </c>
      <c r="AH179" s="5">
        <v>0</v>
      </c>
      <c r="AI179" s="5">
        <v>0</v>
      </c>
      <c r="AJ179" s="5">
        <v>0</v>
      </c>
      <c r="AK179" s="5">
        <v>0</v>
      </c>
      <c r="AL179" s="5">
        <v>10000</v>
      </c>
      <c r="AM179" s="5">
        <v>3871</v>
      </c>
      <c r="AN179" s="5">
        <v>0</v>
      </c>
      <c r="AO179" s="5">
        <v>0</v>
      </c>
      <c r="AP179" s="5">
        <v>0</v>
      </c>
      <c r="AQ179" s="5">
        <v>0</v>
      </c>
      <c r="AR179" s="5">
        <v>51770</v>
      </c>
      <c r="AS179" s="5">
        <v>20040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65412</v>
      </c>
      <c r="BI179" s="5">
        <v>65412</v>
      </c>
      <c r="BJ179" s="5">
        <v>0</v>
      </c>
      <c r="BK179" s="5">
        <v>0</v>
      </c>
      <c r="BL179" s="5">
        <v>0</v>
      </c>
      <c r="BM179" s="5">
        <v>200</v>
      </c>
      <c r="BN179" s="5">
        <v>0</v>
      </c>
      <c r="BO179" s="5">
        <v>0</v>
      </c>
      <c r="BP179" s="5">
        <v>3298</v>
      </c>
      <c r="BQ179" s="5">
        <v>0</v>
      </c>
      <c r="BR179" s="5">
        <v>3298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3498</v>
      </c>
      <c r="CZ179" s="5">
        <v>61914</v>
      </c>
      <c r="DA179" s="5" t="s">
        <v>118</v>
      </c>
      <c r="DB179" s="5" t="s">
        <v>118</v>
      </c>
      <c r="DC179" s="5">
        <v>61914</v>
      </c>
      <c r="DE179" s="5" t="e">
        <v>#N/A</v>
      </c>
      <c r="DF179" s="5" t="e">
        <f t="shared" si="2"/>
        <v>#N/A</v>
      </c>
      <c r="DG179" s="5" t="s">
        <v>1203</v>
      </c>
    </row>
    <row r="180" spans="1:111" s="5" customFormat="1">
      <c r="A180" s="5" t="s">
        <v>1239</v>
      </c>
      <c r="B180" s="6" t="s">
        <v>1240</v>
      </c>
      <c r="C180" t="s">
        <v>1109</v>
      </c>
      <c r="D180" s="5" t="s">
        <v>1241</v>
      </c>
      <c r="E180" s="5" t="s">
        <v>113</v>
      </c>
      <c r="F180" s="5" t="s">
        <v>114</v>
      </c>
      <c r="G180" s="5" t="s">
        <v>115</v>
      </c>
      <c r="H180" s="5" t="s">
        <v>113</v>
      </c>
      <c r="I180" s="6" t="s">
        <v>309</v>
      </c>
      <c r="J180" s="5" t="s">
        <v>117</v>
      </c>
      <c r="K180" s="5" t="s">
        <v>118</v>
      </c>
      <c r="L180" s="5" t="s">
        <v>118</v>
      </c>
      <c r="M180" s="5" t="s">
        <v>113</v>
      </c>
      <c r="N180" s="5" t="s">
        <v>118</v>
      </c>
      <c r="O180" s="5" t="s">
        <v>118</v>
      </c>
      <c r="P180" s="5" t="s">
        <v>1242</v>
      </c>
      <c r="Q180" s="5" t="s">
        <v>1242</v>
      </c>
      <c r="R180" s="5" t="s">
        <v>1243</v>
      </c>
      <c r="S180" s="5" t="s">
        <v>169</v>
      </c>
      <c r="T180" s="5" t="s">
        <v>121</v>
      </c>
      <c r="U180" s="5" t="s">
        <v>122</v>
      </c>
      <c r="V180" s="5" t="s">
        <v>1244</v>
      </c>
      <c r="W180" s="5" t="s">
        <v>135</v>
      </c>
      <c r="X180" s="5" t="s">
        <v>1245</v>
      </c>
      <c r="Y180" s="5" t="s">
        <v>1246</v>
      </c>
      <c r="Z180" s="5">
        <v>126522</v>
      </c>
      <c r="AA180" s="5">
        <v>36732</v>
      </c>
      <c r="AB180" s="5">
        <v>0</v>
      </c>
      <c r="AC180" s="5">
        <v>50609</v>
      </c>
      <c r="AD180" s="5">
        <v>14693</v>
      </c>
      <c r="AE180" s="5">
        <v>0</v>
      </c>
      <c r="AF180" s="5">
        <v>13917</v>
      </c>
      <c r="AG180" s="5">
        <v>4040</v>
      </c>
      <c r="AH180" s="5">
        <v>0</v>
      </c>
      <c r="AI180" s="5">
        <v>0</v>
      </c>
      <c r="AJ180" s="5">
        <v>0</v>
      </c>
      <c r="AK180" s="5">
        <v>0</v>
      </c>
      <c r="AL180" s="5">
        <v>10000</v>
      </c>
      <c r="AM180" s="5">
        <v>2903</v>
      </c>
      <c r="AN180" s="5">
        <v>0</v>
      </c>
      <c r="AO180" s="5">
        <v>0</v>
      </c>
      <c r="AP180" s="5">
        <v>0</v>
      </c>
      <c r="AQ180" s="5">
        <v>0</v>
      </c>
      <c r="AR180" s="5">
        <v>113458</v>
      </c>
      <c r="AS180" s="5">
        <v>32939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91307</v>
      </c>
      <c r="BI180" s="5">
        <v>91307</v>
      </c>
      <c r="BJ180" s="5">
        <v>0</v>
      </c>
      <c r="BK180" s="5">
        <v>0</v>
      </c>
      <c r="BL180" s="5">
        <v>4297</v>
      </c>
      <c r="BM180" s="5">
        <v>200</v>
      </c>
      <c r="BN180" s="5">
        <v>0</v>
      </c>
      <c r="BO180" s="5">
        <v>0</v>
      </c>
      <c r="BP180" s="5">
        <v>1800</v>
      </c>
      <c r="BQ180" s="5">
        <v>0</v>
      </c>
      <c r="BR180" s="5">
        <v>1800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6297</v>
      </c>
      <c r="CZ180" s="5">
        <v>85010</v>
      </c>
      <c r="DA180" s="5" t="s">
        <v>118</v>
      </c>
      <c r="DB180" s="5" t="s">
        <v>118</v>
      </c>
      <c r="DC180" s="5">
        <v>85010</v>
      </c>
      <c r="DE180" s="5" t="e">
        <v>#N/A</v>
      </c>
      <c r="DF180" s="5" t="e">
        <f t="shared" si="2"/>
        <v>#N/A</v>
      </c>
      <c r="DG180" s="5" t="s">
        <v>1203</v>
      </c>
    </row>
    <row r="181" spans="1:111" s="5" customFormat="1">
      <c r="A181" s="5" t="s">
        <v>1247</v>
      </c>
      <c r="B181" s="6" t="s">
        <v>1248</v>
      </c>
      <c r="C181" t="s">
        <v>1170</v>
      </c>
      <c r="D181" s="5" t="s">
        <v>1249</v>
      </c>
      <c r="E181" s="5" t="s">
        <v>113</v>
      </c>
      <c r="F181" s="5" t="s">
        <v>114</v>
      </c>
      <c r="G181" s="5" t="s">
        <v>115</v>
      </c>
      <c r="H181" s="5" t="s">
        <v>113</v>
      </c>
      <c r="I181" s="6" t="s">
        <v>309</v>
      </c>
      <c r="J181" s="5" t="s">
        <v>117</v>
      </c>
      <c r="K181" s="5" t="s">
        <v>118</v>
      </c>
      <c r="L181" s="5" t="s">
        <v>118</v>
      </c>
      <c r="M181" s="5" t="s">
        <v>113</v>
      </c>
      <c r="N181" s="5" t="s">
        <v>118</v>
      </c>
      <c r="O181" s="5" t="s">
        <v>118</v>
      </c>
      <c r="P181" s="5" t="s">
        <v>1250</v>
      </c>
      <c r="Q181" s="5" t="s">
        <v>1250</v>
      </c>
      <c r="R181" s="5" t="s">
        <v>652</v>
      </c>
      <c r="S181" s="5" t="s">
        <v>169</v>
      </c>
      <c r="T181" s="5" t="s">
        <v>121</v>
      </c>
      <c r="U181" s="5" t="s">
        <v>122</v>
      </c>
      <c r="V181" s="5" t="s">
        <v>1251</v>
      </c>
      <c r="W181" s="5" t="s">
        <v>135</v>
      </c>
      <c r="X181" s="5" t="s">
        <v>899</v>
      </c>
      <c r="Y181" s="5" t="s">
        <v>1252</v>
      </c>
      <c r="Z181" s="5">
        <v>50000</v>
      </c>
      <c r="AA181" s="5">
        <v>3226</v>
      </c>
      <c r="AB181" s="5">
        <v>0</v>
      </c>
      <c r="AC181" s="5">
        <v>20000</v>
      </c>
      <c r="AD181" s="5">
        <v>1290</v>
      </c>
      <c r="AE181" s="5">
        <v>0</v>
      </c>
      <c r="AF181" s="5">
        <v>5500</v>
      </c>
      <c r="AG181" s="5">
        <v>355</v>
      </c>
      <c r="AH181" s="5">
        <v>0</v>
      </c>
      <c r="AI181" s="5">
        <v>0</v>
      </c>
      <c r="AJ181" s="5">
        <v>0</v>
      </c>
      <c r="AK181" s="5">
        <v>0</v>
      </c>
      <c r="AL181" s="5">
        <v>10000</v>
      </c>
      <c r="AM181" s="5">
        <v>645</v>
      </c>
      <c r="AN181" s="5">
        <v>0</v>
      </c>
      <c r="AO181" s="5">
        <v>0</v>
      </c>
      <c r="AP181" s="5">
        <v>0</v>
      </c>
      <c r="AQ181" s="5">
        <v>0</v>
      </c>
      <c r="AR181" s="5">
        <v>37700</v>
      </c>
      <c r="AS181" s="5">
        <v>2432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7948</v>
      </c>
      <c r="BI181" s="5">
        <v>7948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387</v>
      </c>
      <c r="BQ181" s="5">
        <v>0</v>
      </c>
      <c r="BR181" s="5">
        <v>387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387</v>
      </c>
      <c r="CZ181" s="5">
        <v>7561</v>
      </c>
      <c r="DA181" s="5" t="s">
        <v>118</v>
      </c>
      <c r="DB181" s="5" t="s">
        <v>118</v>
      </c>
      <c r="DC181" s="5">
        <v>7561</v>
      </c>
      <c r="DE181" s="5" t="e">
        <v>#N/A</v>
      </c>
      <c r="DF181" s="5" t="e">
        <f t="shared" si="2"/>
        <v>#N/A</v>
      </c>
      <c r="DG181" s="5" t="s">
        <v>1203</v>
      </c>
    </row>
    <row r="182" spans="1:111">
      <c r="CZ182" s="7"/>
    </row>
    <row r="183" spans="1:111">
      <c r="CZ183" s="7"/>
    </row>
  </sheetData>
  <autoFilter ref="A1:DI181" xr:uid="{00000000-0001-0000-0000-000000000000}"/>
  <pageMargins left="0.7" right="0.7" top="0.75" bottom="0.75" header="0.3" footer="0.3"/>
  <pageSetup fitToWidth="12" fitToHeight="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3E5E-8CF2-4459-B076-150281692E42}">
  <dimension ref="A1:AB19"/>
  <sheetViews>
    <sheetView workbookViewId="0"/>
  </sheetViews>
  <sheetFormatPr defaultRowHeight="14.45"/>
  <cols>
    <col min="1" max="1" width="20.28515625" bestFit="1" customWidth="1"/>
    <col min="2" max="2" width="11.7109375" bestFit="1" customWidth="1"/>
    <col min="3" max="3" width="18.85546875" bestFit="1" customWidth="1"/>
    <col min="4" max="4" width="18.5703125" bestFit="1" customWidth="1"/>
    <col min="5" max="5" width="11.140625" bestFit="1" customWidth="1"/>
    <col min="6" max="6" width="17.85546875" bestFit="1" customWidth="1"/>
    <col min="7" max="7" width="21.28515625" bestFit="1" customWidth="1"/>
    <col min="8" max="8" width="13.7109375" bestFit="1" customWidth="1"/>
    <col min="9" max="9" width="28.140625" bestFit="1" customWidth="1"/>
    <col min="10" max="10" width="23.28515625" bestFit="1" customWidth="1"/>
    <col min="11" max="11" width="30.28515625" bestFit="1" customWidth="1"/>
    <col min="12" max="12" width="10.5703125" bestFit="1" customWidth="1"/>
    <col min="13" max="13" width="17.28515625" bestFit="1" customWidth="1"/>
    <col min="14" max="14" width="25.7109375" bestFit="1" customWidth="1"/>
    <col min="15" max="15" width="21.7109375" bestFit="1" customWidth="1"/>
    <col min="16" max="16" width="28.42578125" bestFit="1" customWidth="1"/>
    <col min="17" max="17" width="13.140625" bestFit="1" customWidth="1"/>
    <col min="18" max="18" width="16.140625" bestFit="1" customWidth="1"/>
    <col min="19" max="19" width="14.7109375" bestFit="1" customWidth="1"/>
    <col min="20" max="20" width="19.140625" bestFit="1" customWidth="1"/>
    <col min="21" max="21" width="23" bestFit="1" customWidth="1"/>
    <col min="22" max="22" width="32.7109375" bestFit="1" customWidth="1"/>
    <col min="23" max="23" width="10.28515625" bestFit="1" customWidth="1"/>
    <col min="24" max="24" width="20.85546875" bestFit="1" customWidth="1"/>
    <col min="25" max="25" width="20.140625" bestFit="1" customWidth="1"/>
    <col min="26" max="26" width="26.85546875" bestFit="1" customWidth="1"/>
    <col min="27" max="27" width="24.28515625" bestFit="1" customWidth="1"/>
    <col min="28" max="28" width="33.28515625" bestFit="1" customWidth="1"/>
  </cols>
  <sheetData>
    <row r="1" spans="1:28">
      <c r="A1" s="9" t="s">
        <v>1253</v>
      </c>
      <c r="B1" t="s">
        <v>1254</v>
      </c>
      <c r="C1" t="s">
        <v>1255</v>
      </c>
      <c r="D1" t="s">
        <v>1256</v>
      </c>
      <c r="E1" t="s">
        <v>1257</v>
      </c>
      <c r="F1" t="s">
        <v>1258</v>
      </c>
      <c r="G1" t="s">
        <v>1259</v>
      </c>
      <c r="H1" t="s">
        <v>1260</v>
      </c>
      <c r="I1" t="s">
        <v>1261</v>
      </c>
      <c r="J1" t="s">
        <v>1262</v>
      </c>
      <c r="K1" t="s">
        <v>1263</v>
      </c>
      <c r="L1" t="s">
        <v>1264</v>
      </c>
      <c r="M1" t="s">
        <v>1265</v>
      </c>
      <c r="N1" t="s">
        <v>1266</v>
      </c>
      <c r="O1" t="s">
        <v>1267</v>
      </c>
      <c r="P1" t="s">
        <v>1268</v>
      </c>
      <c r="Q1" t="s">
        <v>1269</v>
      </c>
      <c r="R1" t="s">
        <v>1270</v>
      </c>
      <c r="S1" t="s">
        <v>1271</v>
      </c>
      <c r="T1" t="s">
        <v>1272</v>
      </c>
      <c r="U1" t="s">
        <v>1273</v>
      </c>
      <c r="V1" t="s">
        <v>1274</v>
      </c>
      <c r="W1" t="s">
        <v>1275</v>
      </c>
      <c r="X1" t="s">
        <v>1276</v>
      </c>
      <c r="Y1" t="s">
        <v>1277</v>
      </c>
      <c r="Z1" t="s">
        <v>1278</v>
      </c>
      <c r="AA1" t="s">
        <v>1279</v>
      </c>
      <c r="AB1" t="s">
        <v>1280</v>
      </c>
    </row>
    <row r="2" spans="1:28">
      <c r="A2" s="10" t="s">
        <v>140</v>
      </c>
      <c r="B2">
        <v>96575</v>
      </c>
      <c r="C2">
        <v>0</v>
      </c>
      <c r="D2">
        <v>0</v>
      </c>
      <c r="E2">
        <v>38630</v>
      </c>
      <c r="F2">
        <v>0</v>
      </c>
      <c r="G2">
        <v>10623</v>
      </c>
      <c r="H2">
        <v>0</v>
      </c>
      <c r="I2">
        <v>0</v>
      </c>
      <c r="J2">
        <v>0</v>
      </c>
      <c r="K2">
        <v>0</v>
      </c>
      <c r="L2">
        <v>24144</v>
      </c>
      <c r="M2">
        <v>0</v>
      </c>
      <c r="N2">
        <v>0</v>
      </c>
      <c r="O2">
        <v>60665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1200</v>
      </c>
      <c r="Y2">
        <v>10800</v>
      </c>
      <c r="Z2">
        <v>0</v>
      </c>
      <c r="AA2">
        <v>0</v>
      </c>
      <c r="AB2">
        <v>0</v>
      </c>
    </row>
    <row r="3" spans="1:28">
      <c r="A3" s="10" t="s">
        <v>858</v>
      </c>
      <c r="B3">
        <v>204079</v>
      </c>
      <c r="C3">
        <v>0</v>
      </c>
      <c r="D3">
        <v>0</v>
      </c>
      <c r="E3">
        <v>81631</v>
      </c>
      <c r="F3">
        <v>0</v>
      </c>
      <c r="G3">
        <v>22449</v>
      </c>
      <c r="H3">
        <v>0</v>
      </c>
      <c r="I3">
        <v>0</v>
      </c>
      <c r="J3">
        <v>0</v>
      </c>
      <c r="K3">
        <v>0</v>
      </c>
      <c r="L3">
        <v>10000</v>
      </c>
      <c r="M3">
        <v>0</v>
      </c>
      <c r="N3">
        <v>0</v>
      </c>
      <c r="O3">
        <v>167548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124510</v>
      </c>
      <c r="X3">
        <v>200</v>
      </c>
      <c r="Y3">
        <v>24489</v>
      </c>
      <c r="Z3">
        <v>0</v>
      </c>
      <c r="AA3">
        <v>0</v>
      </c>
      <c r="AB3">
        <v>0</v>
      </c>
    </row>
    <row r="4" spans="1:28">
      <c r="A4" s="10" t="s">
        <v>362</v>
      </c>
      <c r="B4">
        <v>347865</v>
      </c>
      <c r="C4">
        <v>6600</v>
      </c>
      <c r="D4">
        <v>0</v>
      </c>
      <c r="E4">
        <v>139147</v>
      </c>
      <c r="F4">
        <v>0</v>
      </c>
      <c r="G4">
        <v>38266</v>
      </c>
      <c r="H4">
        <v>0</v>
      </c>
      <c r="I4">
        <v>0</v>
      </c>
      <c r="J4">
        <v>0</v>
      </c>
      <c r="K4">
        <v>0</v>
      </c>
      <c r="L4">
        <v>39504</v>
      </c>
      <c r="M4">
        <v>0</v>
      </c>
      <c r="N4">
        <v>0</v>
      </c>
      <c r="O4">
        <v>288319</v>
      </c>
      <c r="P4">
        <v>0</v>
      </c>
      <c r="Q4">
        <v>0</v>
      </c>
      <c r="R4">
        <v>0</v>
      </c>
      <c r="S4">
        <v>0</v>
      </c>
      <c r="T4">
        <v>0</v>
      </c>
      <c r="U4">
        <v>60000</v>
      </c>
      <c r="V4">
        <v>0</v>
      </c>
      <c r="W4">
        <v>165456</v>
      </c>
      <c r="X4">
        <v>800</v>
      </c>
      <c r="Y4">
        <v>9962</v>
      </c>
      <c r="Z4">
        <v>0</v>
      </c>
      <c r="AA4">
        <v>0</v>
      </c>
      <c r="AB4">
        <v>0</v>
      </c>
    </row>
    <row r="5" spans="1:28">
      <c r="A5" s="10" t="s">
        <v>1109</v>
      </c>
      <c r="B5">
        <v>286432</v>
      </c>
      <c r="C5">
        <v>2200</v>
      </c>
      <c r="D5">
        <v>0</v>
      </c>
      <c r="E5">
        <v>114573</v>
      </c>
      <c r="F5">
        <v>0</v>
      </c>
      <c r="G5">
        <v>31507</v>
      </c>
      <c r="H5">
        <v>0</v>
      </c>
      <c r="I5">
        <v>0</v>
      </c>
      <c r="J5">
        <v>0</v>
      </c>
      <c r="K5">
        <v>0</v>
      </c>
      <c r="L5">
        <v>12903</v>
      </c>
      <c r="M5">
        <v>0</v>
      </c>
      <c r="N5">
        <v>0</v>
      </c>
      <c r="O5">
        <v>237978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123531</v>
      </c>
      <c r="X5">
        <v>400</v>
      </c>
      <c r="Y5">
        <v>31764</v>
      </c>
      <c r="Z5">
        <v>0</v>
      </c>
      <c r="AA5">
        <v>0</v>
      </c>
      <c r="AB5">
        <v>0</v>
      </c>
    </row>
    <row r="6" spans="1:28">
      <c r="A6" s="10" t="s">
        <v>505</v>
      </c>
      <c r="B6">
        <v>113827</v>
      </c>
      <c r="C6">
        <v>1419</v>
      </c>
      <c r="D6">
        <v>2290</v>
      </c>
      <c r="E6">
        <v>45531</v>
      </c>
      <c r="F6">
        <v>914</v>
      </c>
      <c r="G6">
        <v>12520</v>
      </c>
      <c r="H6">
        <v>0</v>
      </c>
      <c r="I6">
        <v>253</v>
      </c>
      <c r="J6">
        <v>0</v>
      </c>
      <c r="K6">
        <v>0</v>
      </c>
      <c r="L6">
        <v>18806</v>
      </c>
      <c r="M6">
        <v>571</v>
      </c>
      <c r="N6">
        <v>0</v>
      </c>
      <c r="O6">
        <v>77533</v>
      </c>
      <c r="P6">
        <v>12042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1000</v>
      </c>
      <c r="Y6">
        <v>14929</v>
      </c>
      <c r="Z6">
        <v>0</v>
      </c>
      <c r="AA6">
        <v>0</v>
      </c>
      <c r="AB6">
        <v>0</v>
      </c>
    </row>
    <row r="7" spans="1:28">
      <c r="A7" s="10" t="s">
        <v>328</v>
      </c>
      <c r="B7">
        <v>383662</v>
      </c>
      <c r="C7">
        <v>3335</v>
      </c>
      <c r="D7">
        <v>10895</v>
      </c>
      <c r="E7">
        <v>153465</v>
      </c>
      <c r="F7">
        <v>4358</v>
      </c>
      <c r="G7">
        <v>42203</v>
      </c>
      <c r="H7">
        <v>0</v>
      </c>
      <c r="I7">
        <v>1198</v>
      </c>
      <c r="J7">
        <v>0</v>
      </c>
      <c r="K7">
        <v>0</v>
      </c>
      <c r="L7">
        <v>51725</v>
      </c>
      <c r="M7">
        <v>0</v>
      </c>
      <c r="N7">
        <v>0</v>
      </c>
      <c r="O7">
        <v>305074</v>
      </c>
      <c r="P7">
        <v>10785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97533</v>
      </c>
      <c r="X7">
        <v>1200</v>
      </c>
      <c r="Y7">
        <v>20561</v>
      </c>
      <c r="Z7">
        <v>0</v>
      </c>
      <c r="AA7">
        <v>0</v>
      </c>
      <c r="AB7">
        <v>0</v>
      </c>
    </row>
    <row r="8" spans="1:28">
      <c r="A8" s="10" t="s">
        <v>149</v>
      </c>
      <c r="B8">
        <v>513333</v>
      </c>
      <c r="C8">
        <v>2200</v>
      </c>
      <c r="D8">
        <v>0</v>
      </c>
      <c r="E8">
        <v>205333</v>
      </c>
      <c r="F8">
        <v>0</v>
      </c>
      <c r="G8">
        <v>56467</v>
      </c>
      <c r="H8">
        <v>0</v>
      </c>
      <c r="I8">
        <v>0</v>
      </c>
      <c r="J8">
        <v>0</v>
      </c>
      <c r="K8">
        <v>0</v>
      </c>
      <c r="L8">
        <v>20000</v>
      </c>
      <c r="M8">
        <v>0</v>
      </c>
      <c r="N8">
        <v>0</v>
      </c>
      <c r="O8">
        <v>424400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335049</v>
      </c>
      <c r="X8">
        <v>400</v>
      </c>
      <c r="Y8">
        <v>61600</v>
      </c>
      <c r="Z8">
        <v>0</v>
      </c>
      <c r="AA8">
        <v>0</v>
      </c>
      <c r="AB8">
        <v>0</v>
      </c>
    </row>
    <row r="9" spans="1:28">
      <c r="A9" s="10" t="s">
        <v>824</v>
      </c>
      <c r="B9">
        <v>48058</v>
      </c>
      <c r="C9">
        <v>0</v>
      </c>
      <c r="D9">
        <v>0</v>
      </c>
      <c r="E9">
        <v>19223</v>
      </c>
      <c r="F9">
        <v>0</v>
      </c>
      <c r="G9">
        <v>5286</v>
      </c>
      <c r="H9">
        <v>0</v>
      </c>
      <c r="I9">
        <v>0</v>
      </c>
      <c r="J9">
        <v>0</v>
      </c>
      <c r="K9">
        <v>0</v>
      </c>
      <c r="L9">
        <v>10000</v>
      </c>
      <c r="M9">
        <v>0</v>
      </c>
      <c r="N9">
        <v>0</v>
      </c>
      <c r="O9">
        <v>35777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7086</v>
      </c>
      <c r="X9">
        <v>200</v>
      </c>
      <c r="Y9">
        <v>1800</v>
      </c>
      <c r="Z9">
        <v>0</v>
      </c>
      <c r="AA9">
        <v>0</v>
      </c>
      <c r="AB9">
        <v>0</v>
      </c>
    </row>
    <row r="10" spans="1:28">
      <c r="A10" s="10" t="s">
        <v>130</v>
      </c>
      <c r="B10">
        <v>227086</v>
      </c>
      <c r="C10">
        <v>6600</v>
      </c>
      <c r="D10">
        <v>0</v>
      </c>
      <c r="E10">
        <v>90835</v>
      </c>
      <c r="F10">
        <v>0</v>
      </c>
      <c r="G10">
        <v>24980</v>
      </c>
      <c r="H10">
        <v>0</v>
      </c>
      <c r="I10">
        <v>0</v>
      </c>
      <c r="J10">
        <v>0</v>
      </c>
      <c r="K10">
        <v>0</v>
      </c>
      <c r="L10">
        <v>37304</v>
      </c>
      <c r="M10">
        <v>0</v>
      </c>
      <c r="N10">
        <v>0</v>
      </c>
      <c r="O10">
        <v>153660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37166</v>
      </c>
      <c r="X10">
        <v>800</v>
      </c>
      <c r="Y10">
        <v>27250</v>
      </c>
      <c r="Z10">
        <v>0</v>
      </c>
      <c r="AA10">
        <v>0</v>
      </c>
      <c r="AB10">
        <v>0</v>
      </c>
    </row>
    <row r="11" spans="1:28">
      <c r="A11" s="10" t="s">
        <v>412</v>
      </c>
      <c r="B11">
        <v>95253</v>
      </c>
      <c r="C11">
        <v>2200</v>
      </c>
      <c r="D11">
        <v>0</v>
      </c>
      <c r="E11">
        <v>38101</v>
      </c>
      <c r="F11">
        <v>0</v>
      </c>
      <c r="G11">
        <v>10478</v>
      </c>
      <c r="H11">
        <v>0</v>
      </c>
      <c r="I11">
        <v>0</v>
      </c>
      <c r="J11">
        <v>0</v>
      </c>
      <c r="K11">
        <v>0</v>
      </c>
      <c r="L11">
        <v>15358</v>
      </c>
      <c r="M11">
        <v>0</v>
      </c>
      <c r="N11">
        <v>0</v>
      </c>
      <c r="O11">
        <v>66083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21572</v>
      </c>
      <c r="X11">
        <v>400</v>
      </c>
      <c r="Y11">
        <v>10659</v>
      </c>
      <c r="Z11">
        <v>0</v>
      </c>
      <c r="AA11">
        <v>0</v>
      </c>
      <c r="AB11">
        <v>0</v>
      </c>
    </row>
    <row r="12" spans="1:28">
      <c r="A12" s="10" t="s">
        <v>1170</v>
      </c>
      <c r="B12">
        <v>567814</v>
      </c>
      <c r="C12">
        <v>0</v>
      </c>
      <c r="D12">
        <v>0</v>
      </c>
      <c r="E12">
        <v>227125</v>
      </c>
      <c r="F12">
        <v>0</v>
      </c>
      <c r="G12">
        <v>62460</v>
      </c>
      <c r="H12">
        <v>0</v>
      </c>
      <c r="I12">
        <v>0</v>
      </c>
      <c r="J12">
        <v>0</v>
      </c>
      <c r="K12">
        <v>0</v>
      </c>
      <c r="L12">
        <v>70665</v>
      </c>
      <c r="M12">
        <v>0</v>
      </c>
      <c r="N12">
        <v>0</v>
      </c>
      <c r="O12">
        <v>457493</v>
      </c>
      <c r="P12">
        <v>0</v>
      </c>
      <c r="Q12">
        <v>0</v>
      </c>
      <c r="R12">
        <v>0</v>
      </c>
      <c r="S12">
        <v>0</v>
      </c>
      <c r="T12">
        <v>0</v>
      </c>
      <c r="U12">
        <v>19000</v>
      </c>
      <c r="V12">
        <v>0</v>
      </c>
      <c r="W12">
        <v>30178</v>
      </c>
      <c r="X12">
        <v>1800</v>
      </c>
      <c r="Y12">
        <v>35352</v>
      </c>
      <c r="Z12">
        <v>0</v>
      </c>
      <c r="AA12">
        <v>0</v>
      </c>
      <c r="AB12">
        <v>10000</v>
      </c>
    </row>
    <row r="13" spans="1:28">
      <c r="A13" s="10" t="s">
        <v>182</v>
      </c>
      <c r="B13">
        <v>4769735</v>
      </c>
      <c r="C13">
        <v>28600</v>
      </c>
      <c r="D13">
        <v>39607</v>
      </c>
      <c r="E13">
        <v>1907892</v>
      </c>
      <c r="F13">
        <v>15843</v>
      </c>
      <c r="G13">
        <v>524668</v>
      </c>
      <c r="H13">
        <v>20000</v>
      </c>
      <c r="I13">
        <v>4359</v>
      </c>
      <c r="J13">
        <v>0</v>
      </c>
      <c r="K13">
        <v>0</v>
      </c>
      <c r="L13">
        <v>614689</v>
      </c>
      <c r="M13">
        <v>0</v>
      </c>
      <c r="N13">
        <v>0</v>
      </c>
      <c r="O13">
        <v>3773747</v>
      </c>
      <c r="P13">
        <v>35954</v>
      </c>
      <c r="Q13">
        <v>0</v>
      </c>
      <c r="R13">
        <v>0</v>
      </c>
      <c r="S13">
        <v>0</v>
      </c>
      <c r="T13">
        <v>0</v>
      </c>
      <c r="U13">
        <v>170000</v>
      </c>
      <c r="V13">
        <v>0</v>
      </c>
      <c r="W13">
        <v>1337321</v>
      </c>
      <c r="X13">
        <v>13600</v>
      </c>
      <c r="Y13">
        <v>305058</v>
      </c>
      <c r="Z13">
        <v>3256</v>
      </c>
      <c r="AA13">
        <v>0</v>
      </c>
      <c r="AB13">
        <v>0</v>
      </c>
    </row>
    <row r="14" spans="1:28">
      <c r="A14" s="10" t="s">
        <v>158</v>
      </c>
      <c r="B14">
        <v>2861913</v>
      </c>
      <c r="C14">
        <v>6600</v>
      </c>
      <c r="D14">
        <v>41767</v>
      </c>
      <c r="E14">
        <v>1144765</v>
      </c>
      <c r="F14">
        <v>16706</v>
      </c>
      <c r="G14">
        <v>314809</v>
      </c>
      <c r="H14">
        <v>0</v>
      </c>
      <c r="I14">
        <v>4597</v>
      </c>
      <c r="J14">
        <v>0</v>
      </c>
      <c r="K14">
        <v>0</v>
      </c>
      <c r="L14">
        <v>419240</v>
      </c>
      <c r="M14">
        <v>70</v>
      </c>
      <c r="N14">
        <v>0</v>
      </c>
      <c r="O14">
        <v>2222349</v>
      </c>
      <c r="P14">
        <v>51823</v>
      </c>
      <c r="Q14">
        <v>0</v>
      </c>
      <c r="R14">
        <v>0</v>
      </c>
      <c r="S14">
        <v>4108</v>
      </c>
      <c r="T14">
        <v>0</v>
      </c>
      <c r="U14">
        <v>63500</v>
      </c>
      <c r="V14">
        <v>0</v>
      </c>
      <c r="W14">
        <v>635809</v>
      </c>
      <c r="X14">
        <v>10400</v>
      </c>
      <c r="Y14">
        <v>185334</v>
      </c>
      <c r="Z14">
        <v>5184</v>
      </c>
      <c r="AA14">
        <v>207</v>
      </c>
      <c r="AB14">
        <v>0</v>
      </c>
    </row>
    <row r="15" spans="1:28">
      <c r="A15" s="10" t="s">
        <v>242</v>
      </c>
      <c r="B15">
        <v>244122</v>
      </c>
      <c r="C15">
        <v>2200</v>
      </c>
      <c r="D15">
        <v>0</v>
      </c>
      <c r="E15">
        <v>97649</v>
      </c>
      <c r="F15">
        <v>0</v>
      </c>
      <c r="G15">
        <v>26854</v>
      </c>
      <c r="H15">
        <v>0</v>
      </c>
      <c r="I15">
        <v>0</v>
      </c>
      <c r="J15">
        <v>0</v>
      </c>
      <c r="K15">
        <v>0</v>
      </c>
      <c r="L15">
        <v>19677</v>
      </c>
      <c r="M15">
        <v>0</v>
      </c>
      <c r="N15">
        <v>0</v>
      </c>
      <c r="O15">
        <v>216261</v>
      </c>
      <c r="P15">
        <v>0</v>
      </c>
      <c r="Q15">
        <v>0</v>
      </c>
      <c r="R15">
        <v>22000</v>
      </c>
      <c r="S15">
        <v>0</v>
      </c>
      <c r="T15">
        <v>0</v>
      </c>
      <c r="U15">
        <v>0</v>
      </c>
      <c r="V15">
        <v>0</v>
      </c>
      <c r="W15">
        <v>71844</v>
      </c>
      <c r="X15">
        <v>400</v>
      </c>
      <c r="Y15">
        <v>3600</v>
      </c>
      <c r="Z15">
        <v>0</v>
      </c>
      <c r="AA15">
        <v>0</v>
      </c>
      <c r="AB15">
        <v>11815</v>
      </c>
    </row>
    <row r="16" spans="1:28">
      <c r="A16" s="10" t="s">
        <v>337</v>
      </c>
      <c r="B16">
        <v>52117</v>
      </c>
      <c r="C16">
        <v>0</v>
      </c>
      <c r="D16">
        <v>0</v>
      </c>
      <c r="E16">
        <v>20847</v>
      </c>
      <c r="F16">
        <v>0</v>
      </c>
      <c r="G16">
        <v>5733</v>
      </c>
      <c r="H16">
        <v>0</v>
      </c>
      <c r="I16">
        <v>0</v>
      </c>
      <c r="J16">
        <v>0</v>
      </c>
      <c r="K16">
        <v>0</v>
      </c>
      <c r="L16">
        <v>13030</v>
      </c>
      <c r="M16">
        <v>0</v>
      </c>
      <c r="N16">
        <v>0</v>
      </c>
      <c r="O16">
        <v>27375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400</v>
      </c>
      <c r="Y16">
        <v>3600</v>
      </c>
      <c r="Z16">
        <v>0</v>
      </c>
      <c r="AA16">
        <v>0</v>
      </c>
      <c r="AB16">
        <v>0</v>
      </c>
    </row>
    <row r="17" spans="1:28">
      <c r="A17" s="10" t="s">
        <v>111</v>
      </c>
      <c r="B17">
        <v>707409</v>
      </c>
      <c r="C17">
        <v>8800</v>
      </c>
      <c r="D17">
        <v>16553</v>
      </c>
      <c r="E17">
        <v>282963</v>
      </c>
      <c r="F17">
        <v>6621</v>
      </c>
      <c r="G17">
        <v>77815</v>
      </c>
      <c r="H17">
        <v>0</v>
      </c>
      <c r="I17">
        <v>1822</v>
      </c>
      <c r="J17">
        <v>0</v>
      </c>
      <c r="K17">
        <v>0</v>
      </c>
      <c r="L17">
        <v>103898</v>
      </c>
      <c r="M17">
        <v>-6505</v>
      </c>
      <c r="N17">
        <v>0</v>
      </c>
      <c r="O17">
        <v>540792</v>
      </c>
      <c r="P17">
        <v>21669</v>
      </c>
      <c r="Q17">
        <v>0</v>
      </c>
      <c r="R17">
        <v>119200</v>
      </c>
      <c r="S17">
        <v>0</v>
      </c>
      <c r="T17">
        <v>0</v>
      </c>
      <c r="U17">
        <v>0</v>
      </c>
      <c r="V17">
        <v>0</v>
      </c>
      <c r="W17">
        <v>192298</v>
      </c>
      <c r="X17">
        <v>2550</v>
      </c>
      <c r="Y17">
        <v>46842</v>
      </c>
      <c r="Z17">
        <v>1221</v>
      </c>
      <c r="AA17">
        <v>0</v>
      </c>
      <c r="AB17">
        <v>0</v>
      </c>
    </row>
    <row r="18" spans="1:28">
      <c r="A18" s="10" t="s">
        <v>1281</v>
      </c>
    </row>
    <row r="19" spans="1:28">
      <c r="A19" s="10" t="s">
        <v>1282</v>
      </c>
      <c r="B19">
        <v>11519280</v>
      </c>
      <c r="C19">
        <v>70754</v>
      </c>
      <c r="D19">
        <v>111112</v>
      </c>
      <c r="E19">
        <v>4607710</v>
      </c>
      <c r="F19">
        <v>44442</v>
      </c>
      <c r="G19">
        <v>1267118</v>
      </c>
      <c r="H19">
        <v>20000</v>
      </c>
      <c r="I19">
        <v>12229</v>
      </c>
      <c r="J19">
        <v>0</v>
      </c>
      <c r="K19">
        <v>0</v>
      </c>
      <c r="L19">
        <v>1480943</v>
      </c>
      <c r="M19">
        <v>-5864</v>
      </c>
      <c r="N19">
        <v>0</v>
      </c>
      <c r="O19">
        <v>9055054</v>
      </c>
      <c r="P19">
        <v>132273</v>
      </c>
      <c r="Q19">
        <v>0</v>
      </c>
      <c r="R19">
        <v>141200</v>
      </c>
      <c r="S19">
        <v>4108</v>
      </c>
      <c r="T19">
        <v>0</v>
      </c>
      <c r="U19">
        <v>312500</v>
      </c>
      <c r="V19">
        <v>0</v>
      </c>
      <c r="W19">
        <v>3179353</v>
      </c>
      <c r="X19">
        <v>35750</v>
      </c>
      <c r="Y19">
        <v>793600</v>
      </c>
      <c r="Z19">
        <v>9661</v>
      </c>
      <c r="AA19">
        <v>207</v>
      </c>
      <c r="AB19">
        <v>21815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C435-6C86-4520-BD6A-A5AC278A8D14}">
  <dimension ref="B2:AV20"/>
  <sheetViews>
    <sheetView topLeftCell="B1" workbookViewId="0">
      <pane xSplit="2" ySplit="3" topLeftCell="AK11" activePane="bottomRight" state="frozen"/>
      <selection pane="bottomRight" activeCell="AK11" sqref="AK11"/>
      <selection pane="bottomLeft" activeCell="B4" sqref="B4"/>
      <selection pane="topRight" activeCell="D1" sqref="D1"/>
    </sheetView>
  </sheetViews>
  <sheetFormatPr defaultRowHeight="14.45"/>
  <cols>
    <col min="3" max="3" width="17.140625" bestFit="1" customWidth="1"/>
    <col min="4" max="4" width="17.140625" customWidth="1"/>
    <col min="12" max="12" width="12.28515625" style="12" customWidth="1"/>
    <col min="44" max="44" width="9.28515625" bestFit="1" customWidth="1"/>
  </cols>
  <sheetData>
    <row r="2" spans="2:48">
      <c r="AI2" s="17" t="s">
        <v>1283</v>
      </c>
      <c r="AJ2" s="17"/>
      <c r="AK2" s="17"/>
      <c r="AL2" s="17"/>
      <c r="AM2" s="17"/>
      <c r="AN2" s="17"/>
      <c r="AO2" s="17"/>
    </row>
    <row r="3" spans="2:48" s="11" customFormat="1" ht="61.15" customHeight="1">
      <c r="B3" s="14" t="s">
        <v>1253</v>
      </c>
      <c r="C3" s="14" t="s">
        <v>1284</v>
      </c>
      <c r="D3" s="14" t="s">
        <v>1285</v>
      </c>
      <c r="E3" s="14" t="s">
        <v>1254</v>
      </c>
      <c r="F3" s="14" t="s">
        <v>1255</v>
      </c>
      <c r="G3" s="14" t="s">
        <v>1256</v>
      </c>
      <c r="H3" s="14" t="s">
        <v>1257</v>
      </c>
      <c r="I3" s="14" t="s">
        <v>1258</v>
      </c>
      <c r="J3" s="14" t="s">
        <v>1259</v>
      </c>
      <c r="K3" s="14" t="s">
        <v>1260</v>
      </c>
      <c r="L3" s="14" t="s">
        <v>1261</v>
      </c>
      <c r="M3" s="14" t="s">
        <v>1262</v>
      </c>
      <c r="N3" s="14" t="s">
        <v>1263</v>
      </c>
      <c r="O3" s="14" t="s">
        <v>1264</v>
      </c>
      <c r="P3" s="14" t="s">
        <v>1265</v>
      </c>
      <c r="Q3" s="14" t="s">
        <v>1266</v>
      </c>
      <c r="R3" s="14" t="s">
        <v>1267</v>
      </c>
      <c r="S3" s="14" t="s">
        <v>1268</v>
      </c>
      <c r="T3" s="14" t="s">
        <v>1269</v>
      </c>
      <c r="U3" s="14" t="s">
        <v>1270</v>
      </c>
      <c r="V3" s="14" t="s">
        <v>1271</v>
      </c>
      <c r="W3" s="14" t="s">
        <v>1272</v>
      </c>
      <c r="X3" s="14" t="s">
        <v>1273</v>
      </c>
      <c r="Y3" s="14" t="s">
        <v>1274</v>
      </c>
      <c r="Z3" s="14" t="s">
        <v>1275</v>
      </c>
      <c r="AA3" s="14" t="s">
        <v>1276</v>
      </c>
      <c r="AB3" s="14" t="s">
        <v>1277</v>
      </c>
      <c r="AC3" s="14" t="s">
        <v>1278</v>
      </c>
      <c r="AD3" s="14" t="s">
        <v>1279</v>
      </c>
      <c r="AE3" s="14" t="s">
        <v>1280</v>
      </c>
      <c r="AF3" s="14" t="s">
        <v>1286</v>
      </c>
      <c r="AG3" s="14" t="s">
        <v>1287</v>
      </c>
      <c r="AH3" s="14" t="s">
        <v>1288</v>
      </c>
      <c r="AI3" s="11" t="str">
        <f>Z3</f>
        <v>Sum of TDS</v>
      </c>
      <c r="AJ3" s="11" t="str">
        <f>AA3</f>
        <v>Sum of Professional Tax</v>
      </c>
      <c r="AK3" s="11" t="str">
        <f>AB3</f>
        <v>Sum of Provident Fund</v>
      </c>
      <c r="AL3" s="11" t="s">
        <v>1289</v>
      </c>
      <c r="AM3" s="11" t="str">
        <f>AE3</f>
        <v xml:space="preserve">Sum of Mediclaim Insurance Recovery </v>
      </c>
      <c r="AN3" s="11" t="str">
        <f>AC3</f>
        <v>Sum of Provident Fund Arrears</v>
      </c>
      <c r="AO3" s="11" t="s">
        <v>103</v>
      </c>
      <c r="AR3" s="11" t="s">
        <v>1290</v>
      </c>
      <c r="AU3" s="11" t="s">
        <v>1291</v>
      </c>
      <c r="AV3" s="11" t="s">
        <v>1292</v>
      </c>
    </row>
    <row r="4" spans="2:48" ht="14.65">
      <c r="B4" s="13" t="s">
        <v>140</v>
      </c>
      <c r="C4" s="13" t="s">
        <v>1293</v>
      </c>
      <c r="D4" s="13" t="s">
        <v>1294</v>
      </c>
      <c r="E4" s="13">
        <v>96575</v>
      </c>
      <c r="F4" s="13">
        <v>0</v>
      </c>
      <c r="G4" s="13">
        <v>0</v>
      </c>
      <c r="H4" s="13">
        <v>38630</v>
      </c>
      <c r="I4" s="13">
        <v>0</v>
      </c>
      <c r="J4" s="13">
        <v>10623</v>
      </c>
      <c r="K4" s="13">
        <v>0</v>
      </c>
      <c r="L4" s="15">
        <v>0</v>
      </c>
      <c r="M4" s="13">
        <v>0</v>
      </c>
      <c r="N4" s="13">
        <v>0</v>
      </c>
      <c r="O4" s="13">
        <v>24144</v>
      </c>
      <c r="P4" s="13">
        <v>0</v>
      </c>
      <c r="Q4" s="13">
        <v>0</v>
      </c>
      <c r="R4" s="13">
        <v>60665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1200</v>
      </c>
      <c r="AB4" s="13">
        <v>10800</v>
      </c>
      <c r="AC4" s="13">
        <v>0</v>
      </c>
      <c r="AD4" s="13">
        <v>0</v>
      </c>
      <c r="AE4" s="13">
        <v>0</v>
      </c>
      <c r="AF4" s="13">
        <f>SUM(G4:I4)+K4+SUM(M4:P4)+SUM(R4:Y4)+E4</f>
        <v>220014</v>
      </c>
      <c r="AG4" s="13">
        <f>J4+L4</f>
        <v>10623</v>
      </c>
      <c r="AH4" s="13">
        <f>F4</f>
        <v>0</v>
      </c>
      <c r="AI4" s="12">
        <f t="shared" ref="AI4:AI20" si="0">Z4</f>
        <v>0</v>
      </c>
      <c r="AJ4" s="12">
        <f t="shared" ref="AJ4:AJ20" si="1">AA4</f>
        <v>1200</v>
      </c>
      <c r="AK4" s="11">
        <f t="shared" ref="AK4:AK20" si="2">AB4</f>
        <v>10800</v>
      </c>
      <c r="AL4">
        <f>AH4</f>
        <v>0</v>
      </c>
      <c r="AM4" s="12">
        <f t="shared" ref="AM4:AM20" si="3">AE4</f>
        <v>0</v>
      </c>
      <c r="AN4" s="12">
        <f t="shared" ref="AN4:AN20" si="4">AC4</f>
        <v>0</v>
      </c>
      <c r="AO4">
        <f>SUM(AF4:AH4)-AI4-AJ4-AK4-AL4-AM4-AN4</f>
        <v>218637</v>
      </c>
      <c r="AR4" s="16">
        <f>AU4/AV4*AK4</f>
        <v>632.92137096774195</v>
      </c>
      <c r="AU4">
        <v>46508</v>
      </c>
      <c r="AV4">
        <v>793600</v>
      </c>
    </row>
    <row r="5" spans="2:48">
      <c r="B5" s="13" t="s">
        <v>858</v>
      </c>
      <c r="C5" s="13" t="s">
        <v>1295</v>
      </c>
      <c r="D5" s="13" t="s">
        <v>1296</v>
      </c>
      <c r="E5" s="13">
        <v>204079</v>
      </c>
      <c r="F5" s="13">
        <v>0</v>
      </c>
      <c r="G5" s="13">
        <v>0</v>
      </c>
      <c r="H5" s="13">
        <v>81631</v>
      </c>
      <c r="I5" s="13">
        <v>0</v>
      </c>
      <c r="J5" s="13">
        <v>22449</v>
      </c>
      <c r="K5" s="13">
        <v>0</v>
      </c>
      <c r="L5" s="15">
        <v>0</v>
      </c>
      <c r="M5" s="13">
        <v>0</v>
      </c>
      <c r="N5" s="13">
        <v>0</v>
      </c>
      <c r="O5" s="13">
        <v>10000</v>
      </c>
      <c r="P5" s="13">
        <v>0</v>
      </c>
      <c r="Q5" s="13">
        <v>0</v>
      </c>
      <c r="R5" s="13">
        <v>167548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124510</v>
      </c>
      <c r="AA5" s="13">
        <v>200</v>
      </c>
      <c r="AB5" s="13">
        <v>24489</v>
      </c>
      <c r="AC5" s="13">
        <v>0</v>
      </c>
      <c r="AD5" s="13">
        <v>0</v>
      </c>
      <c r="AE5" s="13">
        <v>0</v>
      </c>
      <c r="AF5" s="13">
        <f t="shared" ref="AF5:AF19" si="5">SUM(G5:I5)+K5+SUM(M5:P5)+SUM(R5:Y5)+E5</f>
        <v>463258</v>
      </c>
      <c r="AG5" s="13">
        <f t="shared" ref="AG5:AG20" si="6">J5+L5</f>
        <v>22449</v>
      </c>
      <c r="AH5" s="13">
        <f t="shared" ref="AH5:AH20" si="7">F5</f>
        <v>0</v>
      </c>
      <c r="AI5" s="12">
        <f t="shared" si="0"/>
        <v>124510</v>
      </c>
      <c r="AJ5" s="12">
        <f t="shared" si="1"/>
        <v>200</v>
      </c>
      <c r="AK5" s="12">
        <f t="shared" si="2"/>
        <v>24489</v>
      </c>
      <c r="AL5">
        <f t="shared" ref="AL5:AL20" si="8">AH5</f>
        <v>0</v>
      </c>
      <c r="AM5" s="12">
        <f t="shared" si="3"/>
        <v>0</v>
      </c>
      <c r="AN5" s="12">
        <f t="shared" si="4"/>
        <v>0</v>
      </c>
      <c r="AO5">
        <f t="shared" ref="AO5:AO19" si="9">SUM(AF5:AH5)-AI5-AJ5-AK5-AL5-AM5-AN5</f>
        <v>336508</v>
      </c>
      <c r="AR5" s="16">
        <f t="shared" ref="AR5:AR19" si="10">AU5/AV5*AK5</f>
        <v>1435.1492086693547</v>
      </c>
      <c r="AU5">
        <v>46508</v>
      </c>
      <c r="AV5">
        <v>793600</v>
      </c>
    </row>
    <row r="6" spans="2:48">
      <c r="B6" s="13" t="s">
        <v>362</v>
      </c>
      <c r="C6" s="13" t="s">
        <v>1297</v>
      </c>
      <c r="D6" s="13" t="s">
        <v>1296</v>
      </c>
      <c r="E6" s="13">
        <v>347865</v>
      </c>
      <c r="F6" s="13">
        <v>6600</v>
      </c>
      <c r="G6" s="13">
        <v>0</v>
      </c>
      <c r="H6" s="13">
        <v>139147</v>
      </c>
      <c r="I6" s="13">
        <v>0</v>
      </c>
      <c r="J6" s="13">
        <v>38266</v>
      </c>
      <c r="K6" s="13">
        <v>0</v>
      </c>
      <c r="L6" s="15">
        <v>0</v>
      </c>
      <c r="M6" s="13">
        <v>0</v>
      </c>
      <c r="N6" s="13">
        <v>0</v>
      </c>
      <c r="O6" s="13">
        <v>39504</v>
      </c>
      <c r="P6" s="13">
        <v>0</v>
      </c>
      <c r="Q6" s="13">
        <v>0</v>
      </c>
      <c r="R6" s="13">
        <v>288319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60000</v>
      </c>
      <c r="Y6" s="13">
        <v>0</v>
      </c>
      <c r="Z6" s="13">
        <v>165456</v>
      </c>
      <c r="AA6" s="13">
        <v>800</v>
      </c>
      <c r="AB6" s="13">
        <v>9962</v>
      </c>
      <c r="AC6" s="13">
        <v>0</v>
      </c>
      <c r="AD6" s="13">
        <v>0</v>
      </c>
      <c r="AE6" s="13">
        <v>0</v>
      </c>
      <c r="AF6" s="13">
        <f t="shared" si="5"/>
        <v>874835</v>
      </c>
      <c r="AG6" s="13">
        <f t="shared" si="6"/>
        <v>38266</v>
      </c>
      <c r="AH6" s="13">
        <f t="shared" si="7"/>
        <v>6600</v>
      </c>
      <c r="AI6" s="12">
        <f t="shared" si="0"/>
        <v>165456</v>
      </c>
      <c r="AJ6" s="12">
        <f t="shared" si="1"/>
        <v>800</v>
      </c>
      <c r="AK6" s="12">
        <f t="shared" si="2"/>
        <v>9962</v>
      </c>
      <c r="AL6">
        <f t="shared" si="8"/>
        <v>6600</v>
      </c>
      <c r="AM6" s="12">
        <f t="shared" si="3"/>
        <v>0</v>
      </c>
      <c r="AN6" s="12">
        <f t="shared" si="4"/>
        <v>0</v>
      </c>
      <c r="AO6">
        <f t="shared" si="9"/>
        <v>736883</v>
      </c>
      <c r="AR6" s="16">
        <f t="shared" si="10"/>
        <v>583.81136088709673</v>
      </c>
      <c r="AU6">
        <v>46508</v>
      </c>
      <c r="AV6">
        <v>793600</v>
      </c>
    </row>
    <row r="7" spans="2:48" ht="14.65">
      <c r="B7" s="13" t="s">
        <v>1109</v>
      </c>
      <c r="C7" s="13" t="s">
        <v>1109</v>
      </c>
      <c r="D7" s="13" t="s">
        <v>1294</v>
      </c>
      <c r="E7" s="13">
        <v>286432</v>
      </c>
      <c r="F7" s="13">
        <v>2200</v>
      </c>
      <c r="G7" s="13">
        <v>0</v>
      </c>
      <c r="H7" s="13">
        <v>114573</v>
      </c>
      <c r="I7" s="13">
        <v>0</v>
      </c>
      <c r="J7" s="13">
        <v>31507</v>
      </c>
      <c r="K7" s="13">
        <v>0</v>
      </c>
      <c r="L7" s="15">
        <v>0</v>
      </c>
      <c r="M7" s="13">
        <v>0</v>
      </c>
      <c r="N7" s="13">
        <v>0</v>
      </c>
      <c r="O7" s="13">
        <v>12903</v>
      </c>
      <c r="P7" s="13">
        <v>0</v>
      </c>
      <c r="Q7" s="13">
        <v>0</v>
      </c>
      <c r="R7" s="13">
        <v>237978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123531</v>
      </c>
      <c r="AA7" s="13">
        <v>400</v>
      </c>
      <c r="AB7" s="13">
        <v>31764</v>
      </c>
      <c r="AC7" s="13">
        <v>0</v>
      </c>
      <c r="AD7" s="13">
        <v>0</v>
      </c>
      <c r="AE7" s="13">
        <v>0</v>
      </c>
      <c r="AF7" s="13">
        <f t="shared" si="5"/>
        <v>651886</v>
      </c>
      <c r="AG7" s="13">
        <f t="shared" si="6"/>
        <v>31507</v>
      </c>
      <c r="AH7" s="13">
        <f t="shared" si="7"/>
        <v>2200</v>
      </c>
      <c r="AI7" s="12">
        <f t="shared" si="0"/>
        <v>123531</v>
      </c>
      <c r="AJ7" s="12">
        <f t="shared" si="1"/>
        <v>400</v>
      </c>
      <c r="AK7" s="11">
        <f t="shared" si="2"/>
        <v>31764</v>
      </c>
      <c r="AL7">
        <f t="shared" si="8"/>
        <v>2200</v>
      </c>
      <c r="AM7" s="12">
        <f t="shared" si="3"/>
        <v>0</v>
      </c>
      <c r="AN7" s="12">
        <f t="shared" si="4"/>
        <v>0</v>
      </c>
      <c r="AO7">
        <f t="shared" si="9"/>
        <v>527698</v>
      </c>
      <c r="AR7" s="16">
        <f t="shared" si="10"/>
        <v>1861.4920766129032</v>
      </c>
      <c r="AU7">
        <v>46508</v>
      </c>
      <c r="AV7">
        <v>793600</v>
      </c>
    </row>
    <row r="8" spans="2:48">
      <c r="B8" s="13" t="s">
        <v>505</v>
      </c>
      <c r="C8" s="13" t="s">
        <v>505</v>
      </c>
      <c r="D8" s="13" t="s">
        <v>1296</v>
      </c>
      <c r="E8" s="13">
        <v>113827</v>
      </c>
      <c r="F8" s="13">
        <v>1419</v>
      </c>
      <c r="G8" s="13">
        <v>2290</v>
      </c>
      <c r="H8" s="13">
        <v>45531</v>
      </c>
      <c r="I8" s="13">
        <v>914</v>
      </c>
      <c r="J8" s="13">
        <v>12520</v>
      </c>
      <c r="K8" s="13">
        <v>0</v>
      </c>
      <c r="L8" s="15">
        <v>253</v>
      </c>
      <c r="M8" s="13">
        <v>0</v>
      </c>
      <c r="N8" s="13">
        <v>0</v>
      </c>
      <c r="O8" s="13">
        <v>18806</v>
      </c>
      <c r="P8" s="13">
        <v>571</v>
      </c>
      <c r="Q8" s="13">
        <v>0</v>
      </c>
      <c r="R8" s="13">
        <v>77533</v>
      </c>
      <c r="S8" s="13">
        <v>12042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1000</v>
      </c>
      <c r="AB8" s="13">
        <v>14929</v>
      </c>
      <c r="AC8" s="13">
        <v>0</v>
      </c>
      <c r="AD8" s="13">
        <v>0</v>
      </c>
      <c r="AE8" s="13">
        <v>0</v>
      </c>
      <c r="AF8" s="13">
        <f t="shared" si="5"/>
        <v>271514</v>
      </c>
      <c r="AG8" s="13">
        <f t="shared" si="6"/>
        <v>12773</v>
      </c>
      <c r="AH8" s="13">
        <f t="shared" si="7"/>
        <v>1419</v>
      </c>
      <c r="AI8" s="12">
        <f t="shared" si="0"/>
        <v>0</v>
      </c>
      <c r="AJ8" s="12">
        <f t="shared" si="1"/>
        <v>1000</v>
      </c>
      <c r="AK8" s="12">
        <f t="shared" si="2"/>
        <v>14929</v>
      </c>
      <c r="AL8">
        <f t="shared" si="8"/>
        <v>1419</v>
      </c>
      <c r="AM8" s="12">
        <f t="shared" si="3"/>
        <v>0</v>
      </c>
      <c r="AN8" s="12">
        <f t="shared" si="4"/>
        <v>0</v>
      </c>
      <c r="AO8">
        <f t="shared" si="9"/>
        <v>268358</v>
      </c>
      <c r="AR8" s="16">
        <f t="shared" si="10"/>
        <v>874.89658770161282</v>
      </c>
      <c r="AU8">
        <v>46508</v>
      </c>
      <c r="AV8">
        <v>793600</v>
      </c>
    </row>
    <row r="9" spans="2:48">
      <c r="B9" s="13" t="s">
        <v>328</v>
      </c>
      <c r="C9" s="13" t="s">
        <v>1298</v>
      </c>
      <c r="D9" s="13" t="s">
        <v>1296</v>
      </c>
      <c r="E9" s="13">
        <v>383662</v>
      </c>
      <c r="F9" s="13">
        <v>3335</v>
      </c>
      <c r="G9" s="13">
        <v>10895</v>
      </c>
      <c r="H9" s="13">
        <v>153465</v>
      </c>
      <c r="I9" s="13">
        <v>4358</v>
      </c>
      <c r="J9" s="13">
        <v>42203</v>
      </c>
      <c r="K9" s="13">
        <v>0</v>
      </c>
      <c r="L9" s="15">
        <v>1198</v>
      </c>
      <c r="M9" s="13">
        <v>0</v>
      </c>
      <c r="N9" s="13">
        <v>0</v>
      </c>
      <c r="O9" s="13">
        <v>51725</v>
      </c>
      <c r="P9" s="13">
        <v>0</v>
      </c>
      <c r="Q9" s="13">
        <v>0</v>
      </c>
      <c r="R9" s="13">
        <v>305074</v>
      </c>
      <c r="S9" s="13">
        <v>10785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97533</v>
      </c>
      <c r="AA9" s="13">
        <v>1200</v>
      </c>
      <c r="AB9" s="13">
        <v>20561</v>
      </c>
      <c r="AC9" s="13">
        <v>0</v>
      </c>
      <c r="AD9" s="13">
        <v>0</v>
      </c>
      <c r="AE9" s="13">
        <v>0</v>
      </c>
      <c r="AF9" s="13">
        <f t="shared" si="5"/>
        <v>919964</v>
      </c>
      <c r="AG9" s="13">
        <f t="shared" si="6"/>
        <v>43401</v>
      </c>
      <c r="AH9" s="13">
        <f t="shared" si="7"/>
        <v>3335</v>
      </c>
      <c r="AI9" s="12">
        <f t="shared" si="0"/>
        <v>97533</v>
      </c>
      <c r="AJ9" s="12">
        <f t="shared" si="1"/>
        <v>1200</v>
      </c>
      <c r="AK9" s="12">
        <f t="shared" si="2"/>
        <v>20561</v>
      </c>
      <c r="AL9">
        <f t="shared" si="8"/>
        <v>3335</v>
      </c>
      <c r="AM9" s="12">
        <f t="shared" si="3"/>
        <v>0</v>
      </c>
      <c r="AN9" s="12">
        <f t="shared" si="4"/>
        <v>0</v>
      </c>
      <c r="AO9">
        <f t="shared" si="9"/>
        <v>844071</v>
      </c>
      <c r="AR9" s="16">
        <f t="shared" si="10"/>
        <v>1204.9533618951612</v>
      </c>
      <c r="AU9">
        <v>46508</v>
      </c>
      <c r="AV9">
        <v>793600</v>
      </c>
    </row>
    <row r="10" spans="2:48" ht="14.65">
      <c r="B10" s="13" t="s">
        <v>149</v>
      </c>
      <c r="C10" s="13" t="s">
        <v>1109</v>
      </c>
      <c r="D10" s="13" t="s">
        <v>1294</v>
      </c>
      <c r="E10" s="13">
        <v>513333</v>
      </c>
      <c r="F10" s="13">
        <v>2200</v>
      </c>
      <c r="G10" s="13">
        <v>0</v>
      </c>
      <c r="H10" s="13">
        <v>205333</v>
      </c>
      <c r="I10" s="13">
        <v>0</v>
      </c>
      <c r="J10" s="13">
        <v>56467</v>
      </c>
      <c r="K10" s="13">
        <v>0</v>
      </c>
      <c r="L10" s="15">
        <v>0</v>
      </c>
      <c r="M10" s="13">
        <v>0</v>
      </c>
      <c r="N10" s="13">
        <v>0</v>
      </c>
      <c r="O10" s="13">
        <v>20000</v>
      </c>
      <c r="P10" s="13">
        <v>0</v>
      </c>
      <c r="Q10" s="13">
        <v>0</v>
      </c>
      <c r="R10" s="13">
        <v>424400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335049</v>
      </c>
      <c r="AA10" s="13">
        <v>400</v>
      </c>
      <c r="AB10" s="13">
        <v>61600</v>
      </c>
      <c r="AC10" s="13">
        <v>0</v>
      </c>
      <c r="AD10" s="13">
        <v>0</v>
      </c>
      <c r="AE10" s="13">
        <v>0</v>
      </c>
      <c r="AF10" s="13">
        <f t="shared" si="5"/>
        <v>1163066</v>
      </c>
      <c r="AG10" s="13">
        <f t="shared" si="6"/>
        <v>56467</v>
      </c>
      <c r="AH10" s="13">
        <f t="shared" si="7"/>
        <v>2200</v>
      </c>
      <c r="AI10" s="12">
        <f t="shared" si="0"/>
        <v>335049</v>
      </c>
      <c r="AJ10" s="12">
        <f t="shared" si="1"/>
        <v>400</v>
      </c>
      <c r="AK10" s="11">
        <f t="shared" si="2"/>
        <v>61600</v>
      </c>
      <c r="AL10">
        <f t="shared" si="8"/>
        <v>2200</v>
      </c>
      <c r="AM10" s="12">
        <f t="shared" si="3"/>
        <v>0</v>
      </c>
      <c r="AN10" s="12">
        <f t="shared" si="4"/>
        <v>0</v>
      </c>
      <c r="AO10">
        <f t="shared" si="9"/>
        <v>822484</v>
      </c>
      <c r="AR10" s="16">
        <f t="shared" si="10"/>
        <v>3609.9959677419351</v>
      </c>
      <c r="AU10">
        <v>46508</v>
      </c>
      <c r="AV10">
        <v>793600</v>
      </c>
    </row>
    <row r="11" spans="2:48" ht="14.65">
      <c r="B11" s="13" t="s">
        <v>824</v>
      </c>
      <c r="C11" s="13" t="s">
        <v>824</v>
      </c>
      <c r="D11" s="13" t="s">
        <v>1294</v>
      </c>
      <c r="E11" s="13">
        <v>48058</v>
      </c>
      <c r="F11" s="13">
        <v>0</v>
      </c>
      <c r="G11" s="13">
        <v>0</v>
      </c>
      <c r="H11" s="13">
        <v>19223</v>
      </c>
      <c r="I11" s="13">
        <v>0</v>
      </c>
      <c r="J11" s="13">
        <v>5286</v>
      </c>
      <c r="K11" s="13">
        <v>0</v>
      </c>
      <c r="L11" s="15">
        <v>0</v>
      </c>
      <c r="M11" s="13">
        <v>0</v>
      </c>
      <c r="N11" s="13">
        <v>0</v>
      </c>
      <c r="O11" s="13">
        <v>10000</v>
      </c>
      <c r="P11" s="13">
        <v>0</v>
      </c>
      <c r="Q11" s="13">
        <v>0</v>
      </c>
      <c r="R11" s="13">
        <v>35777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7086</v>
      </c>
      <c r="AA11" s="13">
        <v>200</v>
      </c>
      <c r="AB11" s="13">
        <v>1800</v>
      </c>
      <c r="AC11" s="13">
        <v>0</v>
      </c>
      <c r="AD11" s="13">
        <v>0</v>
      </c>
      <c r="AE11" s="13">
        <v>0</v>
      </c>
      <c r="AF11" s="13">
        <f t="shared" si="5"/>
        <v>113058</v>
      </c>
      <c r="AG11" s="13">
        <f t="shared" si="6"/>
        <v>5286</v>
      </c>
      <c r="AH11" s="13">
        <f t="shared" si="7"/>
        <v>0</v>
      </c>
      <c r="AI11" s="12">
        <f t="shared" si="0"/>
        <v>7086</v>
      </c>
      <c r="AJ11" s="12">
        <f t="shared" si="1"/>
        <v>200</v>
      </c>
      <c r="AK11" s="11">
        <f t="shared" si="2"/>
        <v>1800</v>
      </c>
      <c r="AL11">
        <f t="shared" si="8"/>
        <v>0</v>
      </c>
      <c r="AM11" s="12">
        <f t="shared" si="3"/>
        <v>0</v>
      </c>
      <c r="AN11" s="12">
        <f t="shared" si="4"/>
        <v>0</v>
      </c>
      <c r="AO11">
        <f t="shared" si="9"/>
        <v>109258</v>
      </c>
      <c r="AR11" s="16">
        <f t="shared" si="10"/>
        <v>105.48689516129032</v>
      </c>
      <c r="AU11">
        <v>46508</v>
      </c>
      <c r="AV11">
        <v>793600</v>
      </c>
    </row>
    <row r="12" spans="2:48" ht="14.65">
      <c r="B12" s="13" t="s">
        <v>130</v>
      </c>
      <c r="C12" s="13" t="s">
        <v>130</v>
      </c>
      <c r="D12" s="13" t="s">
        <v>1294</v>
      </c>
      <c r="E12" s="13">
        <v>227086</v>
      </c>
      <c r="F12" s="13">
        <v>6600</v>
      </c>
      <c r="G12" s="13">
        <v>0</v>
      </c>
      <c r="H12" s="13">
        <v>90835</v>
      </c>
      <c r="I12" s="13">
        <v>0</v>
      </c>
      <c r="J12" s="13">
        <v>24980</v>
      </c>
      <c r="K12" s="13">
        <v>0</v>
      </c>
      <c r="L12" s="15">
        <v>0</v>
      </c>
      <c r="M12" s="13">
        <v>0</v>
      </c>
      <c r="N12" s="13">
        <v>0</v>
      </c>
      <c r="O12" s="13">
        <v>37304</v>
      </c>
      <c r="P12" s="13">
        <v>0</v>
      </c>
      <c r="Q12" s="13">
        <v>0</v>
      </c>
      <c r="R12" s="13">
        <v>153660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37166</v>
      </c>
      <c r="AA12" s="13">
        <v>800</v>
      </c>
      <c r="AB12" s="13">
        <v>27250</v>
      </c>
      <c r="AC12" s="13">
        <v>0</v>
      </c>
      <c r="AD12" s="13">
        <v>0</v>
      </c>
      <c r="AE12" s="13">
        <v>0</v>
      </c>
      <c r="AF12" s="13">
        <f t="shared" si="5"/>
        <v>508885</v>
      </c>
      <c r="AG12" s="13">
        <f t="shared" si="6"/>
        <v>24980</v>
      </c>
      <c r="AH12" s="13">
        <f t="shared" si="7"/>
        <v>6600</v>
      </c>
      <c r="AI12" s="12">
        <f t="shared" si="0"/>
        <v>37166</v>
      </c>
      <c r="AJ12" s="12">
        <f t="shared" si="1"/>
        <v>800</v>
      </c>
      <c r="AK12" s="11">
        <f t="shared" si="2"/>
        <v>27250</v>
      </c>
      <c r="AL12">
        <f t="shared" si="8"/>
        <v>6600</v>
      </c>
      <c r="AM12" s="12">
        <f t="shared" si="3"/>
        <v>0</v>
      </c>
      <c r="AN12" s="12">
        <f t="shared" si="4"/>
        <v>0</v>
      </c>
      <c r="AO12">
        <f t="shared" si="9"/>
        <v>468649</v>
      </c>
      <c r="AR12" s="16">
        <f t="shared" si="10"/>
        <v>1596.9543850806451</v>
      </c>
      <c r="AU12">
        <v>46508</v>
      </c>
      <c r="AV12">
        <v>793600</v>
      </c>
    </row>
    <row r="13" spans="2:48" ht="14.65">
      <c r="B13" s="13" t="s">
        <v>412</v>
      </c>
      <c r="C13" s="13" t="s">
        <v>1299</v>
      </c>
      <c r="D13" s="13" t="s">
        <v>1294</v>
      </c>
      <c r="E13" s="13">
        <v>95253</v>
      </c>
      <c r="F13" s="13">
        <v>2200</v>
      </c>
      <c r="G13" s="13">
        <v>0</v>
      </c>
      <c r="H13" s="13">
        <v>38101</v>
      </c>
      <c r="I13" s="13">
        <v>0</v>
      </c>
      <c r="J13" s="13">
        <v>10478</v>
      </c>
      <c r="K13" s="13">
        <v>0</v>
      </c>
      <c r="L13" s="15">
        <v>0</v>
      </c>
      <c r="M13" s="13">
        <v>0</v>
      </c>
      <c r="N13" s="13">
        <v>0</v>
      </c>
      <c r="O13" s="13">
        <v>15358</v>
      </c>
      <c r="P13" s="13">
        <v>0</v>
      </c>
      <c r="Q13" s="13">
        <v>0</v>
      </c>
      <c r="R13" s="13">
        <v>66083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21572</v>
      </c>
      <c r="AA13" s="13">
        <v>400</v>
      </c>
      <c r="AB13" s="13">
        <v>10659</v>
      </c>
      <c r="AC13" s="13">
        <v>0</v>
      </c>
      <c r="AD13" s="13">
        <v>0</v>
      </c>
      <c r="AE13" s="13">
        <v>0</v>
      </c>
      <c r="AF13" s="13">
        <f t="shared" si="5"/>
        <v>214795</v>
      </c>
      <c r="AG13" s="13">
        <f t="shared" si="6"/>
        <v>10478</v>
      </c>
      <c r="AH13" s="13">
        <f t="shared" si="7"/>
        <v>2200</v>
      </c>
      <c r="AI13" s="12">
        <f t="shared" si="0"/>
        <v>21572</v>
      </c>
      <c r="AJ13" s="12">
        <f t="shared" si="1"/>
        <v>400</v>
      </c>
      <c r="AK13" s="11">
        <f t="shared" si="2"/>
        <v>10659</v>
      </c>
      <c r="AL13">
        <f t="shared" si="8"/>
        <v>2200</v>
      </c>
      <c r="AM13" s="12">
        <f t="shared" si="3"/>
        <v>0</v>
      </c>
      <c r="AN13" s="12">
        <f t="shared" si="4"/>
        <v>0</v>
      </c>
      <c r="AO13">
        <f t="shared" si="9"/>
        <v>192642</v>
      </c>
      <c r="AR13" s="16">
        <f t="shared" si="10"/>
        <v>624.65823084677413</v>
      </c>
      <c r="AU13">
        <v>46508</v>
      </c>
      <c r="AV13">
        <v>793600</v>
      </c>
    </row>
    <row r="14" spans="2:48">
      <c r="B14" s="13" t="s">
        <v>1170</v>
      </c>
      <c r="C14" s="13" t="s">
        <v>1170</v>
      </c>
      <c r="D14" s="13" t="s">
        <v>1296</v>
      </c>
      <c r="E14" s="13">
        <v>567814</v>
      </c>
      <c r="F14" s="13">
        <v>0</v>
      </c>
      <c r="G14" s="13">
        <v>0</v>
      </c>
      <c r="H14" s="13">
        <v>227125</v>
      </c>
      <c r="I14" s="13">
        <v>0</v>
      </c>
      <c r="J14" s="13">
        <v>62460</v>
      </c>
      <c r="K14" s="13">
        <v>0</v>
      </c>
      <c r="L14" s="15">
        <v>0</v>
      </c>
      <c r="M14" s="13">
        <v>0</v>
      </c>
      <c r="N14" s="13">
        <v>0</v>
      </c>
      <c r="O14" s="13">
        <v>70665</v>
      </c>
      <c r="P14" s="13">
        <v>0</v>
      </c>
      <c r="Q14" s="13">
        <v>0</v>
      </c>
      <c r="R14" s="13">
        <v>457493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19000</v>
      </c>
      <c r="Y14" s="13">
        <v>0</v>
      </c>
      <c r="Z14" s="13">
        <v>30178</v>
      </c>
      <c r="AA14" s="13">
        <v>1800</v>
      </c>
      <c r="AB14" s="13">
        <v>35352</v>
      </c>
      <c r="AC14" s="13">
        <v>0</v>
      </c>
      <c r="AD14" s="13">
        <v>0</v>
      </c>
      <c r="AE14" s="13">
        <v>10000</v>
      </c>
      <c r="AF14" s="13">
        <f t="shared" si="5"/>
        <v>1342097</v>
      </c>
      <c r="AG14" s="13">
        <f t="shared" si="6"/>
        <v>62460</v>
      </c>
      <c r="AH14" s="13">
        <f t="shared" si="7"/>
        <v>0</v>
      </c>
      <c r="AI14" s="12">
        <f t="shared" si="0"/>
        <v>30178</v>
      </c>
      <c r="AJ14" s="12">
        <f t="shared" si="1"/>
        <v>1800</v>
      </c>
      <c r="AK14" s="12">
        <f t="shared" si="2"/>
        <v>35352</v>
      </c>
      <c r="AL14">
        <f t="shared" si="8"/>
        <v>0</v>
      </c>
      <c r="AM14" s="12">
        <f t="shared" si="3"/>
        <v>10000</v>
      </c>
      <c r="AN14" s="12">
        <f t="shared" si="4"/>
        <v>0</v>
      </c>
      <c r="AO14">
        <f t="shared" si="9"/>
        <v>1327227</v>
      </c>
      <c r="AR14" s="16">
        <f t="shared" si="10"/>
        <v>2071.7626209677419</v>
      </c>
      <c r="AU14">
        <v>46508</v>
      </c>
      <c r="AV14">
        <v>793600</v>
      </c>
    </row>
    <row r="15" spans="2:48">
      <c r="B15" s="13" t="s">
        <v>182</v>
      </c>
      <c r="C15" s="13" t="s">
        <v>1170</v>
      </c>
      <c r="D15" s="13" t="s">
        <v>1296</v>
      </c>
      <c r="E15" s="13">
        <v>4769735</v>
      </c>
      <c r="F15" s="13">
        <v>28600</v>
      </c>
      <c r="G15" s="13">
        <v>39607</v>
      </c>
      <c r="H15" s="13">
        <v>1907892</v>
      </c>
      <c r="I15" s="13">
        <v>15843</v>
      </c>
      <c r="J15" s="13">
        <v>524668</v>
      </c>
      <c r="K15" s="13">
        <v>20000</v>
      </c>
      <c r="L15" s="15">
        <v>4359</v>
      </c>
      <c r="M15" s="13">
        <v>0</v>
      </c>
      <c r="N15" s="13">
        <v>0</v>
      </c>
      <c r="O15" s="13">
        <v>614689</v>
      </c>
      <c r="P15" s="13">
        <v>0</v>
      </c>
      <c r="Q15" s="13">
        <v>0</v>
      </c>
      <c r="R15" s="13">
        <v>3773747</v>
      </c>
      <c r="S15" s="13">
        <v>35954</v>
      </c>
      <c r="T15" s="13">
        <v>0</v>
      </c>
      <c r="U15" s="13">
        <v>0</v>
      </c>
      <c r="V15" s="13">
        <v>0</v>
      </c>
      <c r="W15" s="13">
        <v>0</v>
      </c>
      <c r="X15" s="13">
        <v>170000</v>
      </c>
      <c r="Y15" s="13">
        <v>0</v>
      </c>
      <c r="Z15" s="13">
        <v>1337321</v>
      </c>
      <c r="AA15" s="13">
        <v>13600</v>
      </c>
      <c r="AB15" s="13">
        <v>305058</v>
      </c>
      <c r="AC15" s="13">
        <v>3256</v>
      </c>
      <c r="AD15" s="13">
        <v>0</v>
      </c>
      <c r="AE15" s="13">
        <v>0</v>
      </c>
      <c r="AF15" s="13">
        <f t="shared" si="5"/>
        <v>11347467</v>
      </c>
      <c r="AG15" s="13">
        <f t="shared" si="6"/>
        <v>529027</v>
      </c>
      <c r="AH15" s="13">
        <f t="shared" si="7"/>
        <v>28600</v>
      </c>
      <c r="AI15" s="12">
        <f t="shared" si="0"/>
        <v>1337321</v>
      </c>
      <c r="AJ15" s="12">
        <f t="shared" si="1"/>
        <v>13600</v>
      </c>
      <c r="AK15" s="12">
        <f t="shared" si="2"/>
        <v>305058</v>
      </c>
      <c r="AL15">
        <f t="shared" si="8"/>
        <v>28600</v>
      </c>
      <c r="AM15" s="12">
        <f t="shared" si="3"/>
        <v>0</v>
      </c>
      <c r="AN15" s="12">
        <f t="shared" si="4"/>
        <v>3256</v>
      </c>
      <c r="AO15">
        <f t="shared" si="9"/>
        <v>10217259</v>
      </c>
      <c r="AR15" s="16">
        <f t="shared" si="10"/>
        <v>17877.567368951612</v>
      </c>
      <c r="AU15">
        <v>46508</v>
      </c>
      <c r="AV15">
        <v>793600</v>
      </c>
    </row>
    <row r="16" spans="2:48">
      <c r="B16" s="13" t="s">
        <v>158</v>
      </c>
      <c r="C16" s="13" t="s">
        <v>158</v>
      </c>
      <c r="D16" s="13" t="s">
        <v>1296</v>
      </c>
      <c r="E16" s="13">
        <v>2861913</v>
      </c>
      <c r="F16" s="13">
        <v>6600</v>
      </c>
      <c r="G16" s="13">
        <v>41767</v>
      </c>
      <c r="H16" s="13">
        <v>1144765</v>
      </c>
      <c r="I16" s="13">
        <v>16706</v>
      </c>
      <c r="J16" s="13">
        <v>314809</v>
      </c>
      <c r="K16" s="13">
        <v>0</v>
      </c>
      <c r="L16" s="15">
        <v>4597</v>
      </c>
      <c r="M16" s="13">
        <v>0</v>
      </c>
      <c r="N16" s="13">
        <v>0</v>
      </c>
      <c r="O16" s="13">
        <v>419240</v>
      </c>
      <c r="P16" s="13">
        <v>70</v>
      </c>
      <c r="Q16" s="13">
        <v>0</v>
      </c>
      <c r="R16" s="13">
        <v>2222349</v>
      </c>
      <c r="S16" s="13">
        <v>51823</v>
      </c>
      <c r="T16" s="13">
        <v>0</v>
      </c>
      <c r="U16" s="13">
        <v>0</v>
      </c>
      <c r="V16" s="13">
        <v>4108</v>
      </c>
      <c r="W16" s="13">
        <v>0</v>
      </c>
      <c r="X16" s="13">
        <v>63500</v>
      </c>
      <c r="Y16" s="13">
        <v>0</v>
      </c>
      <c r="Z16" s="13">
        <v>635809</v>
      </c>
      <c r="AA16" s="13">
        <v>10400</v>
      </c>
      <c r="AB16" s="13">
        <v>185334</v>
      </c>
      <c r="AC16" s="13">
        <v>5184</v>
      </c>
      <c r="AD16" s="13">
        <v>207</v>
      </c>
      <c r="AE16" s="13">
        <v>0</v>
      </c>
      <c r="AF16" s="13">
        <f t="shared" si="5"/>
        <v>6826241</v>
      </c>
      <c r="AG16" s="13">
        <f t="shared" si="6"/>
        <v>319406</v>
      </c>
      <c r="AH16" s="13">
        <f t="shared" si="7"/>
        <v>6600</v>
      </c>
      <c r="AI16" s="12">
        <f t="shared" si="0"/>
        <v>635809</v>
      </c>
      <c r="AJ16" s="12">
        <f t="shared" si="1"/>
        <v>10400</v>
      </c>
      <c r="AK16" s="12">
        <f t="shared" si="2"/>
        <v>185334</v>
      </c>
      <c r="AL16">
        <f t="shared" si="8"/>
        <v>6600</v>
      </c>
      <c r="AM16" s="12">
        <f t="shared" si="3"/>
        <v>0</v>
      </c>
      <c r="AN16" s="12">
        <f t="shared" si="4"/>
        <v>5184</v>
      </c>
      <c r="AO16">
        <f t="shared" si="9"/>
        <v>6308920</v>
      </c>
      <c r="AR16" s="16">
        <f t="shared" si="10"/>
        <v>10861.282348790322</v>
      </c>
      <c r="AU16">
        <v>46508</v>
      </c>
      <c r="AV16">
        <v>793600</v>
      </c>
    </row>
    <row r="17" spans="2:48" ht="14.65">
      <c r="B17" s="13" t="s">
        <v>242</v>
      </c>
      <c r="C17" s="13" t="s">
        <v>242</v>
      </c>
      <c r="D17" s="13" t="s">
        <v>1294</v>
      </c>
      <c r="E17" s="13">
        <v>244122</v>
      </c>
      <c r="F17" s="13">
        <v>2200</v>
      </c>
      <c r="G17" s="13">
        <v>0</v>
      </c>
      <c r="H17" s="13">
        <v>97649</v>
      </c>
      <c r="I17" s="13">
        <v>0</v>
      </c>
      <c r="J17" s="13">
        <v>26854</v>
      </c>
      <c r="K17" s="13">
        <v>0</v>
      </c>
      <c r="L17" s="15">
        <v>0</v>
      </c>
      <c r="M17" s="13">
        <v>0</v>
      </c>
      <c r="N17" s="13">
        <v>0</v>
      </c>
      <c r="O17" s="13">
        <v>19677</v>
      </c>
      <c r="P17" s="13">
        <v>0</v>
      </c>
      <c r="Q17" s="13">
        <v>0</v>
      </c>
      <c r="R17" s="13">
        <v>216261</v>
      </c>
      <c r="S17" s="13">
        <v>0</v>
      </c>
      <c r="T17" s="13">
        <v>0</v>
      </c>
      <c r="U17" s="13">
        <v>22000</v>
      </c>
      <c r="V17" s="13">
        <v>0</v>
      </c>
      <c r="W17" s="13">
        <v>0</v>
      </c>
      <c r="X17" s="13">
        <v>0</v>
      </c>
      <c r="Y17" s="13">
        <v>0</v>
      </c>
      <c r="Z17" s="13">
        <v>71844</v>
      </c>
      <c r="AA17" s="13">
        <v>400</v>
      </c>
      <c r="AB17" s="13">
        <v>3600</v>
      </c>
      <c r="AC17" s="13">
        <v>0</v>
      </c>
      <c r="AD17" s="13">
        <v>0</v>
      </c>
      <c r="AE17" s="13">
        <v>11815</v>
      </c>
      <c r="AF17" s="13">
        <f t="shared" si="5"/>
        <v>599709</v>
      </c>
      <c r="AG17" s="13">
        <f t="shared" si="6"/>
        <v>26854</v>
      </c>
      <c r="AH17" s="13">
        <f t="shared" si="7"/>
        <v>2200</v>
      </c>
      <c r="AI17" s="12">
        <f t="shared" si="0"/>
        <v>71844</v>
      </c>
      <c r="AJ17" s="12">
        <f t="shared" si="1"/>
        <v>400</v>
      </c>
      <c r="AK17" s="11">
        <f t="shared" si="2"/>
        <v>3600</v>
      </c>
      <c r="AL17">
        <f t="shared" si="8"/>
        <v>2200</v>
      </c>
      <c r="AM17" s="12">
        <f t="shared" si="3"/>
        <v>11815</v>
      </c>
      <c r="AN17" s="12">
        <f t="shared" si="4"/>
        <v>0</v>
      </c>
      <c r="AO17">
        <f t="shared" si="9"/>
        <v>538904</v>
      </c>
      <c r="AR17" s="16">
        <f t="shared" si="10"/>
        <v>210.97379032258064</v>
      </c>
      <c r="AU17">
        <v>46508</v>
      </c>
      <c r="AV17">
        <v>793600</v>
      </c>
    </row>
    <row r="18" spans="2:48" ht="14.65">
      <c r="B18" s="13" t="s">
        <v>337</v>
      </c>
      <c r="C18" s="13" t="s">
        <v>1300</v>
      </c>
      <c r="D18" s="13" t="s">
        <v>1294</v>
      </c>
      <c r="E18" s="13">
        <v>52117</v>
      </c>
      <c r="F18" s="13">
        <v>0</v>
      </c>
      <c r="G18" s="13">
        <v>0</v>
      </c>
      <c r="H18" s="13">
        <v>20847</v>
      </c>
      <c r="I18" s="13">
        <v>0</v>
      </c>
      <c r="J18" s="13">
        <v>5733</v>
      </c>
      <c r="K18" s="13">
        <v>0</v>
      </c>
      <c r="L18" s="15">
        <v>0</v>
      </c>
      <c r="M18" s="13">
        <v>0</v>
      </c>
      <c r="N18" s="13">
        <v>0</v>
      </c>
      <c r="O18" s="13">
        <v>13030</v>
      </c>
      <c r="P18" s="13">
        <v>0</v>
      </c>
      <c r="Q18" s="13">
        <v>0</v>
      </c>
      <c r="R18" s="13">
        <v>27375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400</v>
      </c>
      <c r="AB18" s="13">
        <v>3600</v>
      </c>
      <c r="AC18" s="13">
        <v>0</v>
      </c>
      <c r="AD18" s="13">
        <v>0</v>
      </c>
      <c r="AE18" s="13">
        <v>0</v>
      </c>
      <c r="AF18" s="13">
        <f t="shared" si="5"/>
        <v>113369</v>
      </c>
      <c r="AG18" s="13">
        <f t="shared" si="6"/>
        <v>5733</v>
      </c>
      <c r="AH18" s="13">
        <f t="shared" si="7"/>
        <v>0</v>
      </c>
      <c r="AI18" s="12">
        <f t="shared" si="0"/>
        <v>0</v>
      </c>
      <c r="AJ18" s="12">
        <f t="shared" si="1"/>
        <v>400</v>
      </c>
      <c r="AK18" s="11">
        <f t="shared" si="2"/>
        <v>3600</v>
      </c>
      <c r="AL18">
        <f t="shared" si="8"/>
        <v>0</v>
      </c>
      <c r="AM18" s="12">
        <f t="shared" si="3"/>
        <v>0</v>
      </c>
      <c r="AN18" s="12">
        <f t="shared" si="4"/>
        <v>0</v>
      </c>
      <c r="AO18">
        <f t="shared" si="9"/>
        <v>115102</v>
      </c>
      <c r="AR18" s="16">
        <f t="shared" si="10"/>
        <v>210.97379032258064</v>
      </c>
      <c r="AU18">
        <v>46508</v>
      </c>
      <c r="AV18">
        <v>793600</v>
      </c>
    </row>
    <row r="19" spans="2:48" ht="14.65">
      <c r="B19" s="13" t="s">
        <v>111</v>
      </c>
      <c r="C19" s="13" t="s">
        <v>1301</v>
      </c>
      <c r="D19" s="13" t="s">
        <v>1294</v>
      </c>
      <c r="E19" s="13">
        <v>707409</v>
      </c>
      <c r="F19" s="13">
        <v>8800</v>
      </c>
      <c r="G19" s="13">
        <v>16553</v>
      </c>
      <c r="H19" s="13">
        <v>282963</v>
      </c>
      <c r="I19" s="13">
        <v>6621</v>
      </c>
      <c r="J19" s="13">
        <v>77815</v>
      </c>
      <c r="K19" s="13">
        <v>0</v>
      </c>
      <c r="L19" s="15">
        <v>1822</v>
      </c>
      <c r="M19" s="13">
        <v>0</v>
      </c>
      <c r="N19" s="13">
        <v>0</v>
      </c>
      <c r="O19" s="13">
        <v>103898</v>
      </c>
      <c r="P19" s="13">
        <v>-6505</v>
      </c>
      <c r="Q19" s="13">
        <v>0</v>
      </c>
      <c r="R19" s="13">
        <v>540792</v>
      </c>
      <c r="S19" s="13">
        <v>21669</v>
      </c>
      <c r="T19" s="13">
        <v>0</v>
      </c>
      <c r="U19" s="13">
        <v>119200</v>
      </c>
      <c r="V19" s="13">
        <v>0</v>
      </c>
      <c r="W19" s="13">
        <v>0</v>
      </c>
      <c r="X19" s="13">
        <v>0</v>
      </c>
      <c r="Y19" s="13">
        <v>0</v>
      </c>
      <c r="Z19" s="13">
        <v>192298</v>
      </c>
      <c r="AA19" s="13">
        <v>2550</v>
      </c>
      <c r="AB19" s="13">
        <v>46842</v>
      </c>
      <c r="AC19" s="13">
        <v>1221</v>
      </c>
      <c r="AD19" s="13">
        <v>0</v>
      </c>
      <c r="AE19" s="13">
        <v>0</v>
      </c>
      <c r="AF19" s="13">
        <f t="shared" si="5"/>
        <v>1792600</v>
      </c>
      <c r="AG19" s="13">
        <f t="shared" si="6"/>
        <v>79637</v>
      </c>
      <c r="AH19" s="13">
        <f t="shared" si="7"/>
        <v>8800</v>
      </c>
      <c r="AI19" s="12">
        <f t="shared" si="0"/>
        <v>192298</v>
      </c>
      <c r="AJ19" s="12">
        <f t="shared" si="1"/>
        <v>2550</v>
      </c>
      <c r="AK19" s="11">
        <f t="shared" si="2"/>
        <v>46842</v>
      </c>
      <c r="AL19">
        <f t="shared" si="8"/>
        <v>8800</v>
      </c>
      <c r="AM19" s="12">
        <f t="shared" si="3"/>
        <v>0</v>
      </c>
      <c r="AN19" s="12">
        <f t="shared" si="4"/>
        <v>1221</v>
      </c>
      <c r="AO19">
        <f t="shared" si="9"/>
        <v>1629326</v>
      </c>
      <c r="AR19" s="16">
        <f t="shared" si="10"/>
        <v>2745.1206350806451</v>
      </c>
      <c r="AU19">
        <v>46508</v>
      </c>
      <c r="AV19">
        <v>793600</v>
      </c>
    </row>
    <row r="20" spans="2:48">
      <c r="B20" s="13" t="s">
        <v>1282</v>
      </c>
      <c r="C20" s="13"/>
      <c r="D20" s="13"/>
      <c r="E20" s="13">
        <v>11519280</v>
      </c>
      <c r="F20" s="13">
        <v>70754</v>
      </c>
      <c r="G20" s="13">
        <v>111112</v>
      </c>
      <c r="H20" s="13">
        <v>4607710</v>
      </c>
      <c r="I20" s="13">
        <v>44442</v>
      </c>
      <c r="J20" s="13">
        <v>1267118</v>
      </c>
      <c r="K20" s="13">
        <v>20000</v>
      </c>
      <c r="L20" s="15">
        <v>12229</v>
      </c>
      <c r="M20" s="13">
        <v>0</v>
      </c>
      <c r="N20" s="13">
        <v>0</v>
      </c>
      <c r="O20" s="13">
        <v>1480943</v>
      </c>
      <c r="P20" s="13">
        <v>-5864</v>
      </c>
      <c r="Q20" s="13">
        <v>0</v>
      </c>
      <c r="R20" s="13">
        <v>9055054</v>
      </c>
      <c r="S20" s="13">
        <v>132273</v>
      </c>
      <c r="T20" s="13">
        <v>0</v>
      </c>
      <c r="U20" s="13">
        <v>141200</v>
      </c>
      <c r="V20" s="13">
        <v>4108</v>
      </c>
      <c r="W20" s="13">
        <v>0</v>
      </c>
      <c r="X20" s="13">
        <v>312500</v>
      </c>
      <c r="Y20" s="13">
        <v>0</v>
      </c>
      <c r="Z20" s="13">
        <v>3179353</v>
      </c>
      <c r="AA20" s="13">
        <v>35750</v>
      </c>
      <c r="AB20" s="13">
        <v>793600</v>
      </c>
      <c r="AC20" s="13">
        <v>9661</v>
      </c>
      <c r="AD20" s="13">
        <v>207</v>
      </c>
      <c r="AE20" s="13">
        <v>21815</v>
      </c>
      <c r="AF20" s="13">
        <f t="shared" ref="AF20" si="11">SUM(E20:I20)+K20+SUM(M20:Y20)</f>
        <v>27493512</v>
      </c>
      <c r="AG20" s="13">
        <f t="shared" si="6"/>
        <v>1279347</v>
      </c>
      <c r="AH20" s="13">
        <f t="shared" si="7"/>
        <v>70754</v>
      </c>
      <c r="AI20" s="12">
        <f t="shared" si="0"/>
        <v>3179353</v>
      </c>
      <c r="AJ20" s="12">
        <f t="shared" si="1"/>
        <v>35750</v>
      </c>
      <c r="AK20" s="12">
        <f t="shared" si="2"/>
        <v>793600</v>
      </c>
      <c r="AL20">
        <f t="shared" si="8"/>
        <v>70754</v>
      </c>
      <c r="AM20" s="12">
        <f t="shared" si="3"/>
        <v>21815</v>
      </c>
      <c r="AN20" s="12">
        <f t="shared" si="4"/>
        <v>9661</v>
      </c>
    </row>
  </sheetData>
  <autoFilter ref="B3:AV20" xr:uid="{0EA0C435-6C86-4520-BD6A-A5AC278A8D14}"/>
  <mergeCells count="1">
    <mergeCell ref="AI2:A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e5fb5e-06a1-4b88-ab75-df777acba436" xsi:nil="true"/>
    <lcf76f155ced4ddcb4097134ff3c332f xmlns="e22ba01e-bb16-4a12-a87a-2e658248635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7EEB6083A934E9B6EA66490EE4C78" ma:contentTypeVersion="14" ma:contentTypeDescription="Create a new document." ma:contentTypeScope="" ma:versionID="11b8be918790f68bc5ffba35332cf48f">
  <xsd:schema xmlns:xsd="http://www.w3.org/2001/XMLSchema" xmlns:xs="http://www.w3.org/2001/XMLSchema" xmlns:p="http://schemas.microsoft.com/office/2006/metadata/properties" xmlns:ns2="ee9fb0c9-6a71-4636-96af-6eaad636db21" xmlns:ns3="e22ba01e-bb16-4a12-a87a-2e6582486358" xmlns:ns4="52e5fb5e-06a1-4b88-ab75-df777acba436" targetNamespace="http://schemas.microsoft.com/office/2006/metadata/properties" ma:root="true" ma:fieldsID="5f9e5021626dc1c3f85a09de80a6275e" ns2:_="" ns3:_="" ns4:_="">
    <xsd:import namespace="ee9fb0c9-6a71-4636-96af-6eaad636db21"/>
    <xsd:import namespace="e22ba01e-bb16-4a12-a87a-2e6582486358"/>
    <xsd:import namespace="52e5fb5e-06a1-4b88-ab75-df777acba4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fb0c9-6a71-4636-96af-6eaad636db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ba01e-bb16-4a12-a87a-2e6582486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bdefe79-6a0d-4d1a-abe6-92278e4d7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5fb5e-06a1-4b88-ab75-df777acba43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582473c-3bf1-4dc3-a59e-ed6caa5b34f0}" ma:internalName="TaxCatchAll" ma:showField="CatchAllData" ma:web="52e5fb5e-06a1-4b88-ab75-df777acba4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EEE06A-C73A-42F8-A566-637B7E890650}"/>
</file>

<file path=customXml/itemProps2.xml><?xml version="1.0" encoding="utf-8"?>
<ds:datastoreItem xmlns:ds="http://schemas.openxmlformats.org/officeDocument/2006/customXml" ds:itemID="{379C66A0-8D3E-48AA-9269-851D6EDE20D2}"/>
</file>

<file path=customXml/itemProps3.xml><?xml version="1.0" encoding="utf-8"?>
<ds:datastoreItem xmlns:ds="http://schemas.openxmlformats.org/officeDocument/2006/customXml" ds:itemID="{0EE8BF8E-40C1-4E88-804F-123BEEFED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SimplyBiz Intern</cp:lastModifiedBy>
  <cp:revision/>
  <dcterms:created xsi:type="dcterms:W3CDTF">2025-11-26T13:05:41Z</dcterms:created>
  <dcterms:modified xsi:type="dcterms:W3CDTF">2025-12-29T09:22:45Z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0x010100F447EEB6083A934E9B6EA66490EE4C78</vt:lpwstr>
  </property>
  <property fmtid="{D5CDD505-2E9C-101B-9397-08002B2CF9AE}" pid="3" name="MediaServiceImageTags">
    <vt:lpwstr/>
  </property>
</Properties>
</file>